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9.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O:\5.Tools\CreationAgwFlows\"/>
    </mc:Choice>
  </mc:AlternateContent>
  <xr:revisionPtr revIDLastSave="0" documentId="13_ncr:1_{9F1CB0DF-8365-4083-9555-638A36453C46}" xr6:coauthVersionLast="47" xr6:coauthVersionMax="47" xr10:uidLastSave="{00000000-0000-0000-0000-000000000000}"/>
  <bookViews>
    <workbookView xWindow="57480" yWindow="-120" windowWidth="29040" windowHeight="15840" tabRatio="833" firstSheet="5" activeTab="5" xr2:uid="{00000000-000D-0000-FFFF-FFFF00000000}"/>
  </bookViews>
  <sheets>
    <sheet name="Home" sheetId="14" state="hidden" r:id="rId1"/>
    <sheet name="Execute" sheetId="20" state="hidden" r:id="rId2"/>
    <sheet name="RG" sheetId="18" state="hidden" r:id="rId3"/>
    <sheet name="AgwSuez" sheetId="21" state="hidden" r:id="rId4"/>
    <sheet name="AgwIS" sheetId="25" state="hidden" r:id="rId5"/>
    <sheet name="AgwIS (2)" sheetId="26" r:id="rId6"/>
    <sheet name="VM" sheetId="24" state="hidden" r:id="rId7"/>
    <sheet name="Subscription" sheetId="10" state="hidden" r:id="rId8"/>
    <sheet name="vnet" sheetId="5" state="hidden" r:id="rId9"/>
    <sheet name="Drafts" sheetId="15" state="hidden" r:id="rId10"/>
    <sheet name="LB" sheetId="16" state="hidden" r:id="rId11"/>
    <sheet name="VMold" sheetId="22" state="hidden" r:id="rId12"/>
    <sheet name="VMCharacteristics" sheetId="23" state="hidden" r:id="rId13"/>
    <sheet name="App Gateway3" sheetId="13" state="hidden" r:id="rId14"/>
    <sheet name="#Subscriptions" sheetId="1" state="hidden" r:id="rId15"/>
    <sheet name="#Data" sheetId="9" state="hidden" r:id="rId16"/>
  </sheets>
  <functionGroups builtInGroupCount="19"/>
  <definedNames>
    <definedName name="_xlcn.WorksheetConnection_Book3Table_query1" hidden="1">Table_query[]</definedName>
    <definedName name="LBOLD">LB!$B$3</definedName>
    <definedName name="query" localSheetId="14" hidden="1">'#Subscriptions'!$A$1:$F$15</definedName>
    <definedName name="RGOLD">LB!$B$2</definedName>
    <definedName name="Slicer_Topic">#N/A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5:slicerCaches>
    </ext>
    <ext xmlns:x15="http://schemas.microsoft.com/office/spreadsheetml/2010/11/main" uri="{FCE2AD5D-F65C-4FA6-A056-5C36A1767C68}">
      <x15:dataModel>
        <x15:modelTables>
          <x15:modelTable id="Table_query" name="Subscriptions" connection="WorksheetConnection_Book3!Table_quer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0" i="26" l="1" a="1"/>
  <c r="E30" i="26" s="1"/>
  <c r="E32" i="26" s="1" a="1"/>
  <c r="E32" i="26" s="1"/>
  <c r="F30" i="26" a="1"/>
  <c r="F30" i="26" s="1"/>
  <c r="F32" i="26" s="1" a="1"/>
  <c r="F32" i="26" s="1"/>
  <c r="G30" i="26" a="1"/>
  <c r="G30" i="26" s="1"/>
  <c r="G32" i="26" s="1" a="1"/>
  <c r="G32" i="26" s="1"/>
  <c r="J27" i="25" a="1"/>
  <c r="J27" i="25" s="1"/>
  <c r="K27" i="25" s="1"/>
  <c r="J28" i="25" a="1"/>
  <c r="J28" i="25" s="1"/>
  <c r="K28" i="25" s="1"/>
  <c r="K27" i="21" a="1"/>
  <c r="K27" i="21" s="1"/>
  <c r="L27" i="21" s="1"/>
  <c r="K28" i="21" a="1"/>
  <c r="K28" i="21" s="1"/>
  <c r="L28" i="21" s="1"/>
  <c r="I28" i="25" a="1"/>
  <c r="I28" i="25" s="1"/>
  <c r="I27" i="25" a="1"/>
  <c r="I27" i="25" s="1"/>
  <c r="C34" i="24" a="1"/>
  <c r="C34" i="24" s="1"/>
  <c r="J28" i="21" a="1"/>
  <c r="J28" i="21" s="1"/>
  <c r="G1" i="20"/>
  <c r="B24" i="16"/>
  <c r="B23" i="16"/>
  <c r="B22" i="16"/>
  <c r="B21" i="16"/>
  <c r="B20" i="16"/>
  <c r="B19" i="16"/>
  <c r="B18" i="16"/>
  <c r="B17" i="16"/>
  <c r="B16" i="16"/>
  <c r="B15" i="16"/>
  <c r="B14" i="16"/>
  <c r="B13" i="16"/>
  <c r="B12" i="16"/>
  <c r="B11" i="16"/>
  <c r="B10" i="16"/>
  <c r="B9" i="16"/>
  <c r="D18" i="14"/>
  <c r="D17" i="14"/>
  <c r="D16" i="14"/>
  <c r="D15" i="14"/>
  <c r="D14" i="14"/>
  <c r="D13" i="14"/>
  <c r="D12" i="14"/>
  <c r="D11" i="14"/>
  <c r="D10" i="14"/>
  <c r="F10" i="13"/>
  <c r="F11" i="13"/>
  <c r="Q12" i="13"/>
  <c r="Q13" i="13"/>
  <c r="Q14" i="13"/>
  <c r="F15" i="13"/>
  <c r="Q15" i="13"/>
  <c r="A16" i="13"/>
  <c r="A17" i="13" s="1"/>
  <c r="A18" i="13" s="1"/>
  <c r="A19" i="13" s="1"/>
  <c r="A20" i="13" s="1"/>
  <c r="A21" i="13" s="1"/>
  <c r="A22" i="13" s="1"/>
  <c r="A23" i="13" s="1"/>
  <c r="A24" i="13" s="1"/>
  <c r="A25" i="13" s="1"/>
  <c r="A26" i="13" s="1"/>
  <c r="F16" i="13"/>
  <c r="F17" i="13"/>
  <c r="F18" i="13"/>
  <c r="F19" i="13"/>
  <c r="F20" i="13"/>
  <c r="F21" i="13"/>
  <c r="F22" i="13"/>
  <c r="F23" i="13"/>
  <c r="F24" i="13"/>
  <c r="F25" i="13"/>
  <c r="F26" i="13"/>
  <c r="B34" i="13"/>
  <c r="C34" i="13"/>
  <c r="F34" i="13" s="1"/>
  <c r="D34" i="13"/>
  <c r="E34" i="13"/>
  <c r="A35" i="13"/>
  <c r="A36" i="13" s="1"/>
  <c r="A37" i="13" s="1"/>
  <c r="A38" i="13" s="1"/>
  <c r="A39" i="13" s="1"/>
  <c r="A40" i="13" s="1"/>
  <c r="A41" i="13" s="1"/>
  <c r="A42" i="13" s="1"/>
  <c r="A43" i="13" s="1"/>
  <c r="A44" i="13" s="1"/>
  <c r="A45" i="13" s="1"/>
  <c r="B35" i="13"/>
  <c r="C35" i="13"/>
  <c r="D35" i="13"/>
  <c r="E35" i="13"/>
  <c r="B36" i="13"/>
  <c r="C36" i="13"/>
  <c r="D36" i="13"/>
  <c r="F36" i="13" s="1"/>
  <c r="E36" i="13"/>
  <c r="B37" i="13"/>
  <c r="C37" i="13"/>
  <c r="F37" i="13" s="1"/>
  <c r="D37" i="13"/>
  <c r="E37" i="13"/>
  <c r="B38" i="13"/>
  <c r="C38" i="13"/>
  <c r="F38" i="13" s="1"/>
  <c r="D38" i="13"/>
  <c r="E38" i="13"/>
  <c r="B39" i="13"/>
  <c r="C39" i="13"/>
  <c r="G39" i="13" s="1"/>
  <c r="D39" i="13"/>
  <c r="E39" i="13"/>
  <c r="B40" i="13"/>
  <c r="C40" i="13"/>
  <c r="F40" i="13" s="1"/>
  <c r="G40" i="13"/>
  <c r="D40" i="13"/>
  <c r="E40" i="13"/>
  <c r="B41" i="13"/>
  <c r="C41" i="13"/>
  <c r="F41" i="13" s="1"/>
  <c r="D41" i="13"/>
  <c r="E41" i="13"/>
  <c r="B42" i="13"/>
  <c r="C42" i="13"/>
  <c r="F42" i="13" s="1"/>
  <c r="D42" i="13"/>
  <c r="E42" i="13"/>
  <c r="B43" i="13"/>
  <c r="C43" i="13"/>
  <c r="G43" i="13" s="1"/>
  <c r="D43" i="13"/>
  <c r="E43" i="13"/>
  <c r="B44" i="13"/>
  <c r="C44" i="13"/>
  <c r="G44" i="13"/>
  <c r="D44" i="13"/>
  <c r="E44" i="13"/>
  <c r="B45" i="13"/>
  <c r="C45" i="13"/>
  <c r="F45" i="13" s="1"/>
  <c r="D45" i="13"/>
  <c r="E45" i="13"/>
  <c r="B53" i="13"/>
  <c r="C53" i="13"/>
  <c r="D53" i="13"/>
  <c r="G53" i="13" s="1"/>
  <c r="E53" i="13"/>
  <c r="A54" i="13"/>
  <c r="A55" i="13"/>
  <c r="A56" i="13" s="1"/>
  <c r="A57" i="13" s="1"/>
  <c r="A58" i="13" s="1"/>
  <c r="A59" i="13" s="1"/>
  <c r="A60" i="13" s="1"/>
  <c r="A61" i="13" s="1"/>
  <c r="A62" i="13" s="1"/>
  <c r="A63" i="13" s="1"/>
  <c r="A64" i="13" s="1"/>
  <c r="B54" i="13"/>
  <c r="C54" i="13"/>
  <c r="F54" i="13" s="1"/>
  <c r="G54" i="13"/>
  <c r="D54" i="13"/>
  <c r="E54" i="13"/>
  <c r="B55" i="13"/>
  <c r="C55" i="13"/>
  <c r="D55" i="13"/>
  <c r="E55" i="13"/>
  <c r="B56" i="13"/>
  <c r="C56" i="13"/>
  <c r="D56" i="13"/>
  <c r="F56" i="13" s="1"/>
  <c r="E56" i="13"/>
  <c r="B57" i="13"/>
  <c r="C57" i="13"/>
  <c r="F57" i="13" s="1"/>
  <c r="D57" i="13"/>
  <c r="E57" i="13"/>
  <c r="B58" i="13"/>
  <c r="C58" i="13"/>
  <c r="G58" i="13" s="1"/>
  <c r="D58" i="13"/>
  <c r="E58" i="13"/>
  <c r="B59" i="13"/>
  <c r="C59" i="13"/>
  <c r="F59" i="13"/>
  <c r="D59" i="13"/>
  <c r="E59" i="13"/>
  <c r="B60" i="13"/>
  <c r="C60" i="13"/>
  <c r="F60" i="13" s="1"/>
  <c r="D60" i="13"/>
  <c r="E60" i="13"/>
  <c r="B61" i="13"/>
  <c r="C61" i="13"/>
  <c r="F61" i="13"/>
  <c r="D61" i="13"/>
  <c r="E61" i="13"/>
  <c r="B62" i="13"/>
  <c r="C62" i="13"/>
  <c r="F62" i="13" s="1"/>
  <c r="D62" i="13"/>
  <c r="E62" i="13"/>
  <c r="B63" i="13"/>
  <c r="C63" i="13"/>
  <c r="G63" i="13" s="1"/>
  <c r="D63" i="13"/>
  <c r="E63" i="13"/>
  <c r="B64" i="13"/>
  <c r="C64" i="13"/>
  <c r="G64" i="13" s="1"/>
  <c r="F64" i="13"/>
  <c r="D64" i="13"/>
  <c r="E64" i="13"/>
  <c r="B70" i="13"/>
  <c r="J70" i="13" s="1"/>
  <c r="C70" i="13"/>
  <c r="D70" i="13"/>
  <c r="E70" i="13"/>
  <c r="A71" i="13"/>
  <c r="A72" i="13" s="1"/>
  <c r="A73" i="13" s="1"/>
  <c r="A74" i="13" s="1"/>
  <c r="A75" i="13" s="1"/>
  <c r="A76" i="13" s="1"/>
  <c r="A77" i="13" s="1"/>
  <c r="A78" i="13" s="1"/>
  <c r="A79" i="13" s="1"/>
  <c r="A80" i="13" s="1"/>
  <c r="A81" i="13" s="1"/>
  <c r="B71" i="13"/>
  <c r="D71" i="13"/>
  <c r="E71" i="13"/>
  <c r="F71" i="13"/>
  <c r="H71" i="13"/>
  <c r="J71" i="13"/>
  <c r="B72" i="13"/>
  <c r="D72" i="13"/>
  <c r="E72" i="13"/>
  <c r="F72" i="13"/>
  <c r="H72" i="13"/>
  <c r="J72" i="13"/>
  <c r="B73" i="13"/>
  <c r="D73" i="13"/>
  <c r="E73" i="13"/>
  <c r="F73" i="13"/>
  <c r="H73" i="13"/>
  <c r="J73" i="13"/>
  <c r="B74" i="13"/>
  <c r="D74" i="13"/>
  <c r="E74" i="13"/>
  <c r="F74" i="13"/>
  <c r="H74" i="13"/>
  <c r="J74" i="13"/>
  <c r="B75" i="13"/>
  <c r="D75" i="13"/>
  <c r="E75" i="13"/>
  <c r="F75" i="13"/>
  <c r="H75" i="13"/>
  <c r="J75" i="13"/>
  <c r="B76" i="13"/>
  <c r="C76" i="13"/>
  <c r="F76" i="13" s="1"/>
  <c r="D76" i="13"/>
  <c r="E76" i="13"/>
  <c r="B77" i="13"/>
  <c r="C77" i="13"/>
  <c r="J77" i="13" s="1"/>
  <c r="D77" i="13"/>
  <c r="E77" i="13"/>
  <c r="B78" i="13"/>
  <c r="C78" i="13"/>
  <c r="F78" i="13" s="1"/>
  <c r="H78" i="13"/>
  <c r="D78" i="13"/>
  <c r="E78" i="13"/>
  <c r="B79" i="13"/>
  <c r="C79" i="13"/>
  <c r="H79" i="13" s="1"/>
  <c r="D79" i="13"/>
  <c r="E79" i="13"/>
  <c r="B80" i="13"/>
  <c r="C80" i="13"/>
  <c r="J80" i="13" s="1"/>
  <c r="D80" i="13"/>
  <c r="E80" i="13"/>
  <c r="B81" i="13"/>
  <c r="C81" i="13"/>
  <c r="H81" i="13"/>
  <c r="D81" i="13"/>
  <c r="E81" i="13"/>
  <c r="B88" i="13"/>
  <c r="C88" i="13"/>
  <c r="D88" i="13"/>
  <c r="E88" i="13"/>
  <c r="I88" i="13" s="1"/>
  <c r="A89" i="13"/>
  <c r="A90" i="13"/>
  <c r="A91" i="13"/>
  <c r="A92" i="13" s="1"/>
  <c r="A93" i="13" s="1"/>
  <c r="A94" i="13" s="1"/>
  <c r="A95" i="13" s="1"/>
  <c r="A96" i="13" s="1"/>
  <c r="A97" i="13" s="1"/>
  <c r="A98" i="13" s="1"/>
  <c r="A99" i="13" s="1"/>
  <c r="B89" i="13"/>
  <c r="H89" i="13" s="1"/>
  <c r="C89" i="13"/>
  <c r="D89" i="13"/>
  <c r="E89" i="13"/>
  <c r="B90" i="13"/>
  <c r="C90" i="13"/>
  <c r="I90" i="13" s="1"/>
  <c r="D90" i="13"/>
  <c r="E90" i="13"/>
  <c r="B91" i="13"/>
  <c r="C91" i="13"/>
  <c r="D91" i="13"/>
  <c r="F91" i="13" s="1"/>
  <c r="E91" i="13"/>
  <c r="B92" i="13"/>
  <c r="C92" i="13"/>
  <c r="H92" i="13" s="1"/>
  <c r="D92" i="13"/>
  <c r="E92" i="13"/>
  <c r="B93" i="13"/>
  <c r="C93" i="13"/>
  <c r="I93" i="13"/>
  <c r="D93" i="13"/>
  <c r="E93" i="13"/>
  <c r="B94" i="13"/>
  <c r="C94" i="13"/>
  <c r="H94" i="13" s="1"/>
  <c r="I94" i="13"/>
  <c r="D94" i="13"/>
  <c r="E94" i="13"/>
  <c r="B95" i="13"/>
  <c r="C95" i="13"/>
  <c r="H95" i="13" s="1"/>
  <c r="D95" i="13"/>
  <c r="E95" i="13"/>
  <c r="B96" i="13"/>
  <c r="C96" i="13"/>
  <c r="F96" i="13"/>
  <c r="D96" i="13"/>
  <c r="E96" i="13"/>
  <c r="B97" i="13"/>
  <c r="C97" i="13"/>
  <c r="I97" i="13" s="1"/>
  <c r="D97" i="13"/>
  <c r="E97" i="13"/>
  <c r="B98" i="13"/>
  <c r="C98" i="13"/>
  <c r="I98" i="13"/>
  <c r="D98" i="13"/>
  <c r="E98" i="13"/>
  <c r="B99" i="13"/>
  <c r="C99" i="13"/>
  <c r="F99" i="13" s="1"/>
  <c r="D99" i="13"/>
  <c r="E99" i="13"/>
  <c r="H76" i="13"/>
  <c r="H93" i="13"/>
  <c r="F81" i="13"/>
  <c r="I96" i="13"/>
  <c r="F93" i="13"/>
  <c r="J27" i="21" a="1"/>
  <c r="J27" i="21" s="1"/>
  <c r="F79" i="13"/>
  <c r="F43" i="13"/>
  <c r="G35" i="13"/>
  <c r="H96" i="13"/>
  <c r="F53" i="13"/>
  <c r="G41" i="13"/>
  <c r="F63" i="13"/>
  <c r="J76" i="13"/>
  <c r="F70" i="13"/>
  <c r="H97" i="13"/>
  <c r="F44" i="13"/>
  <c r="H98" i="13"/>
  <c r="I95" i="13"/>
  <c r="H99" i="13"/>
  <c r="H70" i="13"/>
  <c r="F97" i="13"/>
  <c r="G55" i="13"/>
  <c r="F95" i="13"/>
  <c r="F98" i="13"/>
  <c r="I91" i="13"/>
  <c r="H77" i="13"/>
  <c r="J79" i="13"/>
  <c r="G61" i="13"/>
  <c r="G59" i="13"/>
  <c r="J81" i="13"/>
  <c r="F77" i="13"/>
  <c r="F55" i="13"/>
  <c r="F35" i="13"/>
  <c r="G56" i="13"/>
  <c r="G62" i="13"/>
  <c r="F58" i="13"/>
  <c r="G38" i="13"/>
  <c r="J38" i="18" a="1"/>
  <c r="K29" i="18" a="1"/>
  <c r="H27" i="18" a="1"/>
  <c r="H14" i="18" a="1"/>
  <c r="H43" i="18" a="1"/>
  <c r="K23" i="18" a="1"/>
  <c r="B3" i="21" a="1"/>
  <c r="I42" i="18" a="1"/>
  <c r="J26" i="18" a="1"/>
  <c r="K20" i="18" a="1"/>
  <c r="C7" i="24" a="1"/>
  <c r="H13" i="18" a="1"/>
  <c r="I16" i="18" a="1"/>
  <c r="J37" i="18" a="1"/>
  <c r="K26" i="18" a="1"/>
  <c r="J41" i="18" a="1"/>
  <c r="I35" i="18" a="1"/>
  <c r="H44" i="18" a="1"/>
  <c r="H18" i="18" a="1"/>
  <c r="K32" i="18" a="1"/>
  <c r="B11" i="10" a="1"/>
  <c r="I39" i="18" a="1"/>
  <c r="C29" i="24" a="1"/>
  <c r="I46" i="18" a="1"/>
  <c r="K25" i="18" a="1"/>
  <c r="H24" i="18" a="1"/>
  <c r="J21" i="18" a="1"/>
  <c r="C12" i="10" a="1"/>
  <c r="K40" i="18" a="1"/>
  <c r="H15" i="18" a="1"/>
  <c r="K33" i="18" a="1"/>
  <c r="I25" i="18" a="1"/>
  <c r="J33" i="18" a="1"/>
  <c r="F15" i="5" a="1"/>
  <c r="J20" i="18" a="1"/>
  <c r="I37" i="18" a="1"/>
  <c r="J43" i="18" a="1"/>
  <c r="H23" i="18" a="1"/>
  <c r="J46" i="18" a="1"/>
  <c r="H16" i="18" a="1"/>
  <c r="K46" i="18" a="1"/>
  <c r="C16" i="10" a="1"/>
  <c r="I21" i="18" a="1"/>
  <c r="K38" i="18" a="1"/>
  <c r="E29" i="24" a="1"/>
  <c r="I45" i="18" a="1"/>
  <c r="I34" i="18" a="1"/>
  <c r="J29" i="18" a="1"/>
  <c r="H42" i="18" a="1"/>
  <c r="B4" i="26" a="1"/>
  <c r="H37" i="18" a="1"/>
  <c r="J23" i="18" a="1"/>
  <c r="D45" i="24" a="1"/>
  <c r="F13" i="5" a="1"/>
  <c r="I44" i="18" a="1"/>
  <c r="I23" i="18" a="1"/>
  <c r="J15" i="18" a="1"/>
  <c r="H25" i="18" a="1"/>
  <c r="C20" i="21" a="1"/>
  <c r="H29" i="18" a="1"/>
  <c r="J14" i="18" a="1"/>
  <c r="K41" i="18" a="1"/>
  <c r="C13" i="10" a="1"/>
  <c r="H36" i="18" a="1"/>
  <c r="J39" i="18" a="1"/>
  <c r="K39" i="18" a="1"/>
  <c r="C9" i="10" a="1"/>
  <c r="I32" i="18" a="1"/>
  <c r="I33" i="18" a="1"/>
  <c r="J22" i="18" a="1"/>
  <c r="F16" i="5" a="1"/>
  <c r="I17" i="18" a="1"/>
  <c r="J16" i="18" a="1"/>
  <c r="F9" i="5" a="1"/>
  <c r="H40" i="18" a="1"/>
  <c r="J13" i="18" a="1"/>
  <c r="K37" i="18" a="1"/>
  <c r="H38" i="18" a="1"/>
  <c r="J35" i="18" a="1"/>
  <c r="K19" i="18" a="1"/>
  <c r="J26" i="21" a="1"/>
  <c r="H28" i="18" a="1"/>
  <c r="F11" i="5" a="1"/>
  <c r="B3" i="25" a="1"/>
  <c r="H41" i="18" a="1"/>
  <c r="I28" i="18" a="1"/>
  <c r="C50" i="24" a="1"/>
  <c r="H30" i="18" a="1"/>
  <c r="I31" i="18" a="1"/>
  <c r="C17" i="10" a="1"/>
  <c r="C14" i="10" a="1"/>
  <c r="C4" i="24" a="1"/>
  <c r="I29" i="18" a="1"/>
  <c r="K34" i="18" a="1"/>
  <c r="B17" i="10" a="1"/>
  <c r="K13" i="18" a="1"/>
  <c r="I18" i="18" a="1"/>
  <c r="K15" i="18" a="1"/>
  <c r="K31" i="18" a="1"/>
  <c r="B14" i="10" a="1"/>
  <c r="H22" i="18" a="1"/>
  <c r="I41" i="18" a="1"/>
  <c r="H39" i="18" a="1"/>
  <c r="H21" i="18" a="1"/>
  <c r="I36" i="18" a="1"/>
  <c r="I24" i="18" a="1"/>
  <c r="J31" i="18" a="1"/>
  <c r="K21" i="18" a="1"/>
  <c r="I40" i="18" a="1"/>
  <c r="B13" i="10" a="1"/>
  <c r="D29" i="24" a="1"/>
  <c r="I30" i="18" a="1"/>
  <c r="F12" i="5" a="1"/>
  <c r="K42" i="18" a="1"/>
  <c r="I38" i="18" a="1"/>
  <c r="H46" i="18" a="1"/>
  <c r="J17" i="18" a="1"/>
  <c r="K45" i="18" a="1"/>
  <c r="K24" i="18" a="1"/>
  <c r="K36" i="18" a="1"/>
  <c r="H20" i="18" a="1"/>
  <c r="J24" i="18" a="1"/>
  <c r="K18" i="18" a="1"/>
  <c r="C51" i="24" a="1"/>
  <c r="H17" i="18" a="1"/>
  <c r="J19" i="18" a="1"/>
  <c r="K43" i="18" a="1"/>
  <c r="C48" i="24" a="1"/>
  <c r="H31" i="18" a="1"/>
  <c r="J42" i="18" a="1"/>
  <c r="K27" i="18" a="1"/>
  <c r="C10" i="10" a="1"/>
  <c r="B9" i="10" a="1"/>
  <c r="H26" i="18" a="1"/>
  <c r="B15" i="10" a="1"/>
  <c r="H35" i="18" a="1"/>
  <c r="K44" i="18" a="1"/>
  <c r="B12" i="10" a="1"/>
  <c r="I13" i="18" a="1"/>
  <c r="K14" i="18" a="1"/>
  <c r="H45" i="18" a="1"/>
  <c r="J32" i="18" a="1"/>
  <c r="B16" i="10" a="1"/>
  <c r="B10" i="10" a="1"/>
  <c r="I43" i="18" a="1"/>
  <c r="J34" i="18" a="1"/>
  <c r="K22" i="18" a="1"/>
  <c r="I20" i="18" a="1"/>
  <c r="J45" i="18" a="1"/>
  <c r="C11" i="10" a="1"/>
  <c r="J44" i="18" a="1"/>
  <c r="K35" i="18" a="1"/>
  <c r="I15" i="18" a="1"/>
  <c r="I14" i="18" a="1"/>
  <c r="K16" i="18" a="1"/>
  <c r="F14" i="5" a="1"/>
  <c r="J40" i="18" a="1"/>
  <c r="H19" i="18" a="1"/>
  <c r="J25" i="18" a="1"/>
  <c r="C45" i="24" a="1"/>
  <c r="J30" i="18" a="1"/>
  <c r="I19" i="18" a="1"/>
  <c r="J28" i="18" a="1"/>
  <c r="G9" i="23" a="1"/>
  <c r="H32" i="18" a="1"/>
  <c r="I22" i="18" a="1"/>
  <c r="J27" i="18" a="1"/>
  <c r="K30" i="18" a="1"/>
  <c r="E45" i="24" a="1"/>
  <c r="J36" i="18" a="1"/>
  <c r="K17" i="18" a="1"/>
  <c r="I27" i="18" a="1"/>
  <c r="H34" i="18" a="1"/>
  <c r="I26" i="18" a="1"/>
  <c r="C10" i="24" a="1"/>
  <c r="H33" i="18" a="1"/>
  <c r="J18" i="18" a="1"/>
  <c r="F10" i="5" a="1"/>
  <c r="K28" i="18" a="1"/>
  <c r="C15" i="10" a="1"/>
  <c r="I26" i="25" a="1"/>
  <c r="C20" i="25" a="1"/>
  <c r="B30" i="26" a="1"/>
  <c r="C30" i="26" a="1"/>
  <c r="B19" i="26" a="1"/>
  <c r="D30" i="26" a="1"/>
  <c r="D30" i="26" l="1"/>
  <c r="G31" i="26"/>
  <c r="F31" i="26"/>
  <c r="E31" i="26"/>
  <c r="C30" i="26"/>
  <c r="C31" i="26" s="1"/>
  <c r="B30" i="26"/>
  <c r="B31" i="26" s="1"/>
  <c r="B4" i="26"/>
  <c r="B19" i="26"/>
  <c r="I26" i="25"/>
  <c r="B3" i="25"/>
  <c r="C20" i="25"/>
  <c r="K18" i="18"/>
  <c r="H13" i="18"/>
  <c r="K21" i="18"/>
  <c r="C15" i="10"/>
  <c r="J21" i="18"/>
  <c r="J34" i="18"/>
  <c r="B17" i="10"/>
  <c r="J26" i="18"/>
  <c r="K26" i="18"/>
  <c r="H39" i="18"/>
  <c r="J25" i="18"/>
  <c r="H17" i="18"/>
  <c r="H27" i="18"/>
  <c r="F9" i="5"/>
  <c r="J29" i="18"/>
  <c r="H16" i="18"/>
  <c r="B10" i="10"/>
  <c r="K33" i="18"/>
  <c r="K29" i="18"/>
  <c r="J43" i="18"/>
  <c r="K17" i="18"/>
  <c r="C12" i="10"/>
  <c r="H20" i="18"/>
  <c r="I39" i="18"/>
  <c r="H41" i="18"/>
  <c r="K24" i="18"/>
  <c r="C29" i="24"/>
  <c r="C9" i="10"/>
  <c r="I33" i="18"/>
  <c r="B12" i="10"/>
  <c r="I29" i="18"/>
  <c r="J46" i="18"/>
  <c r="C14" i="10"/>
  <c r="K25" i="18"/>
  <c r="H40" i="18"/>
  <c r="I19" i="18"/>
  <c r="H38" i="18"/>
  <c r="E29" i="24"/>
  <c r="K38" i="18"/>
  <c r="I15" i="18"/>
  <c r="K32" i="18"/>
  <c r="J28" i="18"/>
  <c r="F12" i="5"/>
  <c r="H24" i="18"/>
  <c r="I27" i="18"/>
  <c r="I30" i="18"/>
  <c r="J44" i="18"/>
  <c r="I17" i="18"/>
  <c r="I31" i="18"/>
  <c r="K28" i="18"/>
  <c r="C20" i="21"/>
  <c r="J20" i="18"/>
  <c r="C16" i="10"/>
  <c r="K15" i="18"/>
  <c r="G9" i="23"/>
  <c r="J22" i="18"/>
  <c r="K35" i="18"/>
  <c r="K43" i="18"/>
  <c r="C4" i="24"/>
  <c r="I38" i="18"/>
  <c r="B16" i="10"/>
  <c r="H35" i="18"/>
  <c r="C17" i="10"/>
  <c r="B15" i="10"/>
  <c r="H42" i="18"/>
  <c r="H32" i="18"/>
  <c r="C11" i="10"/>
  <c r="I14" i="18"/>
  <c r="H21" i="18"/>
  <c r="J15" i="18"/>
  <c r="I26" i="18"/>
  <c r="K13" i="18"/>
  <c r="F11" i="5"/>
  <c r="I28" i="18"/>
  <c r="J37" i="18"/>
  <c r="J24" i="18"/>
  <c r="K37" i="18"/>
  <c r="K44" i="18"/>
  <c r="K23" i="18"/>
  <c r="I41" i="18"/>
  <c r="K40" i="18"/>
  <c r="J13" i="18"/>
  <c r="D29" i="24"/>
  <c r="C10" i="24"/>
  <c r="J42" i="18"/>
  <c r="H14" i="18"/>
  <c r="E45" i="24"/>
  <c r="F14" i="5"/>
  <c r="J32" i="18"/>
  <c r="I37" i="18"/>
  <c r="I43" i="18"/>
  <c r="H44" i="18"/>
  <c r="H15" i="18"/>
  <c r="J26" i="21"/>
  <c r="F10" i="5"/>
  <c r="B9" i="10"/>
  <c r="J23" i="18"/>
  <c r="J45" i="18"/>
  <c r="J18" i="18"/>
  <c r="H29" i="18"/>
  <c r="H18" i="18"/>
  <c r="J33" i="18"/>
  <c r="I22" i="18"/>
  <c r="K31" i="18"/>
  <c r="H23" i="18"/>
  <c r="K39" i="18"/>
  <c r="I23" i="18"/>
  <c r="I42" i="18"/>
  <c r="B11" i="10"/>
  <c r="H46" i="18"/>
  <c r="H31" i="18"/>
  <c r="J30" i="18"/>
  <c r="K36" i="18"/>
  <c r="J16" i="18"/>
  <c r="H22" i="18"/>
  <c r="J39" i="18"/>
  <c r="K20" i="18"/>
  <c r="I44" i="18"/>
  <c r="H36" i="18"/>
  <c r="H28" i="18"/>
  <c r="K34" i="18"/>
  <c r="I25" i="18"/>
  <c r="C45" i="24"/>
  <c r="C50" i="24"/>
  <c r="J14" i="18"/>
  <c r="J19" i="18"/>
  <c r="I35" i="18"/>
  <c r="I32" i="18"/>
  <c r="K30" i="18"/>
  <c r="H19" i="18"/>
  <c r="H30" i="18"/>
  <c r="C13" i="10"/>
  <c r="I24" i="18"/>
  <c r="H45" i="18"/>
  <c r="I16" i="18"/>
  <c r="F15" i="5"/>
  <c r="I13" i="18"/>
  <c r="K46" i="18"/>
  <c r="I21" i="18"/>
  <c r="I34" i="18"/>
  <c r="J40" i="18"/>
  <c r="K19" i="18"/>
  <c r="F16" i="5"/>
  <c r="I45" i="18"/>
  <c r="I40" i="18"/>
  <c r="D45" i="24"/>
  <c r="C51" i="24"/>
  <c r="H43" i="18"/>
  <c r="J41" i="18"/>
  <c r="H33" i="18"/>
  <c r="J35" i="18"/>
  <c r="H26" i="18"/>
  <c r="F13" i="5"/>
  <c r="B3" i="21"/>
  <c r="K16" i="18"/>
  <c r="K22" i="18"/>
  <c r="C48" i="24"/>
  <c r="I20" i="18"/>
  <c r="H34" i="18"/>
  <c r="H37" i="18"/>
  <c r="J27" i="18"/>
  <c r="J31" i="18"/>
  <c r="K27" i="18"/>
  <c r="K42" i="18"/>
  <c r="K41" i="18"/>
  <c r="I18" i="18"/>
  <c r="J17" i="18"/>
  <c r="J38" i="18"/>
  <c r="C10" i="10"/>
  <c r="H25" i="18"/>
  <c r="I36" i="18"/>
  <c r="B13" i="10"/>
  <c r="I46" i="18"/>
  <c r="J36" i="18"/>
  <c r="K45" i="18"/>
  <c r="K14" i="18"/>
  <c r="B14" i="10"/>
  <c r="C7" i="24"/>
  <c r="G60" i="13"/>
  <c r="G45" i="13"/>
  <c r="J78" i="13"/>
  <c r="F89" i="13"/>
  <c r="F88" i="13"/>
  <c r="I92" i="13"/>
  <c r="I99" i="13"/>
  <c r="G42" i="13"/>
  <c r="F92" i="13"/>
  <c r="H90" i="13"/>
  <c r="G34" i="13"/>
  <c r="F90" i="13"/>
  <c r="F94" i="13"/>
  <c r="G57" i="13"/>
  <c r="H91" i="13"/>
  <c r="I89" i="13"/>
  <c r="H88" i="13"/>
  <c r="F80" i="13"/>
  <c r="F39" i="13"/>
  <c r="G37" i="13"/>
  <c r="H80" i="13"/>
  <c r="G36" i="13"/>
  <c r="E33" i="24" a="1"/>
  <c r="L45" i="18" a="1"/>
  <c r="E34" i="24" a="1"/>
  <c r="L29" i="18" a="1"/>
  <c r="E32" i="24" a="1"/>
  <c r="L39" i="18" a="1"/>
  <c r="L46" i="18" a="1"/>
  <c r="J14" i="5" a="1"/>
  <c r="C32" i="24" a="1"/>
  <c r="L32" i="18" a="1"/>
  <c r="L30" i="18" a="1"/>
  <c r="L17" i="18" a="1"/>
  <c r="D17" i="10" a="1"/>
  <c r="L26" i="18" a="1"/>
  <c r="L27" i="18" a="1"/>
  <c r="D32" i="24" a="1"/>
  <c r="D15" i="10" a="1"/>
  <c r="D12" i="10" a="1"/>
  <c r="J15" i="5" a="1"/>
  <c r="L19" i="18" a="1"/>
  <c r="D9" i="10" a="1"/>
  <c r="D33" i="24" a="1"/>
  <c r="L20" i="18" a="1"/>
  <c r="F20" i="21" a="1"/>
  <c r="L13" i="18" a="1"/>
  <c r="D11" i="10" a="1"/>
  <c r="L44" i="18" a="1"/>
  <c r="L31" i="18" a="1"/>
  <c r="J13" i="5" a="1"/>
  <c r="L25" i="18" a="1"/>
  <c r="L23" i="18" a="1"/>
  <c r="D31" i="24" a="1"/>
  <c r="L35" i="18" a="1"/>
  <c r="L43" i="18" a="1"/>
  <c r="D14" i="10" a="1"/>
  <c r="L42" i="18" a="1"/>
  <c r="J16" i="5" a="1"/>
  <c r="J9" i="5" a="1"/>
  <c r="J12" i="5" a="1"/>
  <c r="D13" i="10" a="1"/>
  <c r="L28" i="18" a="1"/>
  <c r="L14" i="18" a="1"/>
  <c r="L18" i="18" a="1"/>
  <c r="L21" i="18" a="1"/>
  <c r="C31" i="24" a="1"/>
  <c r="D10" i="10" a="1"/>
  <c r="C33" i="24" a="1"/>
  <c r="L34" i="18" a="1"/>
  <c r="L33" i="18" a="1"/>
  <c r="D16" i="10" a="1"/>
  <c r="L24" i="18" a="1"/>
  <c r="L16" i="18" a="1"/>
  <c r="J11" i="5" a="1"/>
  <c r="L41" i="18" a="1"/>
  <c r="L40" i="18" a="1"/>
  <c r="J10" i="5" a="1"/>
  <c r="L36" i="18" a="1"/>
  <c r="L15" i="18" a="1"/>
  <c r="E31" i="24" a="1"/>
  <c r="L22" i="18" a="1"/>
  <c r="L38" i="18" a="1"/>
  <c r="L37" i="18" a="1"/>
  <c r="K26" i="21" a="1"/>
  <c r="D34" i="24" a="1"/>
  <c r="J26" i="25" a="1"/>
  <c r="F20" i="25" a="1"/>
  <c r="B20" i="26" a="1"/>
  <c r="C32" i="26" a="1"/>
  <c r="D32" i="26" a="1"/>
  <c r="D32" i="26" l="1"/>
  <c r="D31" i="26"/>
  <c r="C32" i="26"/>
  <c r="K26" i="21"/>
  <c r="J26" i="25"/>
  <c r="B20" i="26"/>
  <c r="F20" i="25"/>
  <c r="L43" i="18"/>
  <c r="M43" i="18" s="1"/>
  <c r="L41" i="18"/>
  <c r="M41" i="18" s="1"/>
  <c r="L18" i="18"/>
  <c r="M18" i="18" s="1"/>
  <c r="J14" i="5"/>
  <c r="K14" i="5" s="1"/>
  <c r="D17" i="10"/>
  <c r="E17" i="10" s="1"/>
  <c r="D9" i="10"/>
  <c r="E9" i="10" s="1"/>
  <c r="L32" i="18"/>
  <c r="M32" i="18" s="1"/>
  <c r="J15" i="5"/>
  <c r="K15" i="5" s="1"/>
  <c r="L19" i="18"/>
  <c r="M19" i="18" s="1"/>
  <c r="L45" i="18"/>
  <c r="M45" i="18" s="1"/>
  <c r="L39" i="18"/>
  <c r="M39" i="18" s="1"/>
  <c r="L23" i="18"/>
  <c r="M23" i="18" s="1"/>
  <c r="L15" i="18"/>
  <c r="M15" i="18" s="1"/>
  <c r="J12" i="5"/>
  <c r="K12" i="5" s="1"/>
  <c r="L26" i="18"/>
  <c r="M26" i="18" s="1"/>
  <c r="L44" i="18"/>
  <c r="M44" i="18" s="1"/>
  <c r="D16" i="10"/>
  <c r="E16" i="10" s="1"/>
  <c r="L28" i="18"/>
  <c r="M28" i="18" s="1"/>
  <c r="D14" i="10"/>
  <c r="E14" i="10" s="1"/>
  <c r="D10" i="10"/>
  <c r="E10" i="10" s="1"/>
  <c r="L31" i="18"/>
  <c r="M31" i="18" s="1"/>
  <c r="F20" i="21"/>
  <c r="L16" i="18"/>
  <c r="M16" i="18" s="1"/>
  <c r="J10" i="5"/>
  <c r="K10" i="5" s="1"/>
  <c r="L42" i="18"/>
  <c r="M42" i="18" s="1"/>
  <c r="L20" i="18"/>
  <c r="M20" i="18" s="1"/>
  <c r="L46" i="18"/>
  <c r="M46" i="18" s="1"/>
  <c r="L29" i="18"/>
  <c r="M29" i="18" s="1"/>
  <c r="L34" i="18"/>
  <c r="M34" i="18" s="1"/>
  <c r="C33" i="24"/>
  <c r="C31" i="24"/>
  <c r="C32" i="24"/>
  <c r="L38" i="18"/>
  <c r="M38" i="18" s="1"/>
  <c r="L27" i="18"/>
  <c r="M27" i="18" s="1"/>
  <c r="J13" i="5"/>
  <c r="K13" i="5" s="1"/>
  <c r="J16" i="5"/>
  <c r="K16" i="5" s="1"/>
  <c r="L14" i="18"/>
  <c r="M14" i="18" s="1"/>
  <c r="L24" i="18"/>
  <c r="M24" i="18" s="1"/>
  <c r="D12" i="10"/>
  <c r="E12" i="10" s="1"/>
  <c r="L21" i="18"/>
  <c r="M21" i="18" s="1"/>
  <c r="L25" i="18"/>
  <c r="M25" i="18" s="1"/>
  <c r="L17" i="18"/>
  <c r="M17" i="18" s="1"/>
  <c r="L30" i="18"/>
  <c r="M30" i="18" s="1"/>
  <c r="L37" i="18"/>
  <c r="M37" i="18" s="1"/>
  <c r="D11" i="10"/>
  <c r="E11" i="10" s="1"/>
  <c r="J9" i="5"/>
  <c r="K9" i="5" s="1"/>
  <c r="D15" i="10"/>
  <c r="E15" i="10" s="1"/>
  <c r="L40" i="18"/>
  <c r="M40" i="18" s="1"/>
  <c r="D13" i="10"/>
  <c r="E13" i="10" s="1"/>
  <c r="D32" i="24"/>
  <c r="D33" i="24"/>
  <c r="D31" i="24"/>
  <c r="D34" i="24"/>
  <c r="L22" i="18"/>
  <c r="M22" i="18" s="1"/>
  <c r="L36" i="18"/>
  <c r="M36" i="18" s="1"/>
  <c r="L35" i="18"/>
  <c r="M35" i="18" s="1"/>
  <c r="L33" i="18"/>
  <c r="M33" i="18" s="1"/>
  <c r="L13" i="18"/>
  <c r="M13" i="18" s="1"/>
  <c r="J11" i="5"/>
  <c r="K11" i="5" s="1"/>
  <c r="E34" i="24"/>
  <c r="E32" i="24"/>
  <c r="E31" i="24"/>
  <c r="E33" i="24"/>
  <c r="C30" i="24"/>
  <c r="D30" i="24"/>
  <c r="E30" i="24"/>
  <c r="C49" i="24" a="1"/>
  <c r="B32" i="26" a="1"/>
  <c r="B32" i="26" l="1"/>
  <c r="C4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royme\Downloads\query.iqy" keepAlive="1" name="query" type="5" refreshedVersion="8" minRefreshableVersion="3" saveData="1">
    <dbPr connection="Provider=Microsoft.Office.List.OLEDB.2.0;Data Source=&quot;&quot;;ApplicationName=Excel;Version=12.0.0.0" command="&lt;LIST&gt;&lt;VIEWGUID&gt;{2D016ACE-B6D5-4490-98DE-CA6B26267A91}&lt;/VIEWGUID&gt;&lt;LISTNAME&gt;{27B04B7D-A0A7-4D6F-BA3B-ED78302254E2}&lt;/LISTNAME&gt;&lt;LISTWEB&gt;https://one4u.sharepoint.com/sites/Smart_Water/xOps/_vti_bin&lt;/LISTWEB&gt;&lt;LISTSUBWEB&gt;&lt;/LISTSUBWEB&gt;&lt;ROOTFOLDER&gt;/sites/Smart%5fWater/xOps/Lists/Subscriptions&lt;/ROOTFOLDER&gt;&lt;/LIST&gt;" commandType="5"/>
  </connection>
  <connection id="2" xr16:uid="{00000000-0015-0000-FFFF-FFFF0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Book3!Table_query" type="102" refreshedVersion="8" minRefreshableVersion="5">
    <extLst>
      <ext xmlns:x15="http://schemas.microsoft.com/office/spreadsheetml/2010/11/main" uri="{DE250136-89BD-433C-8126-D09CA5730AF9}">
        <x15:connection id="Table_query">
          <x15:rangePr sourceName="_xlcn.WorksheetConnection_Book3Table_quer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<sst xmlns="http://schemas.openxmlformats.org/spreadsheetml/2006/main" count="701" uniqueCount="306">
  <si>
    <t>Title</t>
  </si>
  <si>
    <t>Path</t>
  </si>
  <si>
    <t>Item Type</t>
  </si>
  <si>
    <t>Name</t>
  </si>
  <si>
    <t>SubscriptionID</t>
  </si>
  <si>
    <t>Fees</t>
  </si>
  <si>
    <t>sites/Smart_Water/xOps/Lists/Subscriptions</t>
  </si>
  <si>
    <t>Item</t>
  </si>
  <si>
    <t>DS SESWAYO PRD 01 IS</t>
  </si>
  <si>
    <t>2681ae91-bcc8-46aa-8fdc-db2a51fea5d8</t>
  </si>
  <si>
    <t>SMART Water Edition</t>
  </si>
  <si>
    <t>4365d897-32fd-4526-8807-e891a9d832e2</t>
  </si>
  <si>
    <t>Suez Smart Solutions</t>
  </si>
  <si>
    <t>SUEZ Smart Solutions</t>
  </si>
  <si>
    <t>94431bcc-2056-4ebd-9a9c-cb4d062ec243</t>
  </si>
  <si>
    <t>DS SESWAYO DEV 01</t>
  </si>
  <si>
    <t>e1a78a6b-2cce-46ab-a83f-5d4d924dcba9</t>
  </si>
  <si>
    <t>DS SESWAYOSUEZ PRD 01</t>
  </si>
  <si>
    <t>af9f6198-6bb3-4dcf-aa26-3626cb338b4d</t>
  </si>
  <si>
    <t>DS SESWAYO DEV 01 IS</t>
  </si>
  <si>
    <t>62c82006-9f6b-4a7f-a142-50f557c7e0e7</t>
  </si>
  <si>
    <t>Cloud Temple</t>
  </si>
  <si>
    <t>NoID1</t>
  </si>
  <si>
    <t>IBM</t>
  </si>
  <si>
    <t>NoID2</t>
  </si>
  <si>
    <t>No subscription</t>
  </si>
  <si>
    <t>CE 3S PRD</t>
  </si>
  <si>
    <t>b9ece001-915c-4f20-bd52-c1544f2197e8</t>
  </si>
  <si>
    <t>ITS</t>
  </si>
  <si>
    <t>NoID3</t>
  </si>
  <si>
    <t>3S Local Servers</t>
  </si>
  <si>
    <t>NoID4</t>
  </si>
  <si>
    <t>DS SESWAYOHUB PRD 01 IS</t>
  </si>
  <si>
    <t>55173195-9a7e-486e-8c8d-4740bcbcb111</t>
  </si>
  <si>
    <t>DS SESWAYOSANDBOX DEV 01 IS</t>
  </si>
  <si>
    <t>480c4dad-9dc0-4d1d-9f65-813a4365d5c9</t>
  </si>
  <si>
    <t>Resource Group</t>
  </si>
  <si>
    <t>Port</t>
  </si>
  <si>
    <t>DEV</t>
  </si>
  <si>
    <t>eddy.moren@suez.com</t>
  </si>
  <si>
    <t>ne</t>
  </si>
  <si>
    <t>dev</t>
  </si>
  <si>
    <t>PRD</t>
  </si>
  <si>
    <t>multi</t>
  </si>
  <si>
    <t>Script</t>
  </si>
  <si>
    <t>Location</t>
  </si>
  <si>
    <t>Envir</t>
  </si>
  <si>
    <t>billing_code</t>
  </si>
  <si>
    <t>owner &amp; financial_contact</t>
  </si>
  <si>
    <t>region</t>
  </si>
  <si>
    <t>Environment</t>
  </si>
  <si>
    <t>Customer</t>
  </si>
  <si>
    <t>Application</t>
  </si>
  <si>
    <t>Tags</t>
  </si>
  <si>
    <t>northeurope</t>
  </si>
  <si>
    <t>Subscription</t>
  </si>
  <si>
    <t>https://learn.microsoft.com/fr-fr/cli/azure/tag?view=azure-cli-latest#az-tag-update</t>
  </si>
  <si>
    <t>https://learn.microsoft.com/fr-fr/cli/azure/group?view=azure-cli-latest#az-group-update</t>
  </si>
  <si>
    <t xml:space="preserve">https://learn.microsoft.com/fr-fr/cli/azure/group?view=azure-cli-latest#az-group-create </t>
  </si>
  <si>
    <t>Region</t>
  </si>
  <si>
    <t>Instance</t>
  </si>
  <si>
    <t>vnet</t>
  </si>
  <si>
    <t>IP Adresses</t>
  </si>
  <si>
    <t>10.0.0.0/16</t>
  </si>
  <si>
    <t>10.0.0.0/24</t>
  </si>
  <si>
    <t>https://learn.microsoft.com/en-us/cli/azure/network/vnet?view=azure-cli-latest#az-network-vnet-create</t>
  </si>
  <si>
    <t>tests</t>
  </si>
  <si>
    <t>rg-tests-eddy-dev-ne-01</t>
  </si>
  <si>
    <t>Subnet</t>
  </si>
  <si>
    <t>Subnet Adresses</t>
  </si>
  <si>
    <t>default</t>
  </si>
  <si>
    <t>eastasia</t>
  </si>
  <si>
    <t>ea</t>
  </si>
  <si>
    <t>Region Code</t>
  </si>
  <si>
    <t>DSI Envir</t>
  </si>
  <si>
    <t>qa</t>
  </si>
  <si>
    <t>uat</t>
  </si>
  <si>
    <t>tmp</t>
  </si>
  <si>
    <t>devt</t>
  </si>
  <si>
    <t>preprod</t>
  </si>
  <si>
    <t>prod</t>
  </si>
  <si>
    <t>HLM</t>
  </si>
  <si>
    <t/>
  </si>
  <si>
    <t>Resource Group Name</t>
  </si>
  <si>
    <t>.</t>
  </si>
  <si>
    <t>Resource Group name</t>
  </si>
  <si>
    <t>Resource Group Creation or Update</t>
  </si>
  <si>
    <t>Vnet Creation</t>
  </si>
  <si>
    <t>Subscription Name</t>
  </si>
  <si>
    <t>Subscription ID</t>
  </si>
  <si>
    <t>Subscription selection</t>
  </si>
  <si>
    <t>Public IP Name</t>
  </si>
  <si>
    <t>App Gateway Name</t>
  </si>
  <si>
    <t>Product</t>
  </si>
  <si>
    <t>Target IP</t>
  </si>
  <si>
    <t>Comment</t>
  </si>
  <si>
    <t>aqud</t>
  </si>
  <si>
    <t>10.240.6.4</t>
  </si>
  <si>
    <t>Component</t>
  </si>
  <si>
    <t>Protocol</t>
  </si>
  <si>
    <t>identity</t>
  </si>
  <si>
    <t>http</t>
  </si>
  <si>
    <t>geoserver</t>
  </si>
  <si>
    <t>api-datacollect</t>
  </si>
  <si>
    <t>case</t>
  </si>
  <si>
    <t>Backend pool name</t>
  </si>
  <si>
    <t>Target Listener  (https)</t>
  </si>
  <si>
    <t>Listener</t>
  </si>
  <si>
    <t>Priority</t>
  </si>
  <si>
    <t>Rule name</t>
  </si>
  <si>
    <t>Permanent</t>
  </si>
  <si>
    <t>Redirection type</t>
  </si>
  <si>
    <t>Redirection</t>
  </si>
  <si>
    <t>Target type</t>
  </si>
  <si>
    <t>HTTP Rules</t>
  </si>
  <si>
    <t>aqud-multi-prod-backend</t>
  </si>
  <si>
    <t>Backend settings</t>
  </si>
  <si>
    <t>Backend target</t>
  </si>
  <si>
    <t>Backend pool</t>
  </si>
  <si>
    <t>HTTPS Rules</t>
  </si>
  <si>
    <t>Host name</t>
  </si>
  <si>
    <t>http Listener</t>
  </si>
  <si>
    <t>Multi site</t>
  </si>
  <si>
    <t>Listener  type</t>
  </si>
  <si>
    <t>Public</t>
  </si>
  <si>
    <t>Frontend IP</t>
  </si>
  <si>
    <t>HTTP Listeners</t>
  </si>
  <si>
    <t>https Listener</t>
  </si>
  <si>
    <t>aquadvanced.com</t>
  </si>
  <si>
    <t>Domain</t>
  </si>
  <si>
    <t>https</t>
  </si>
  <si>
    <t>aquadvancedcert</t>
  </si>
  <si>
    <t>Certificate</t>
  </si>
  <si>
    <t>HTTPS Listeners</t>
  </si>
  <si>
    <t xml:space="preserve"> </t>
  </si>
  <si>
    <t>first customer (case)</t>
  </si>
  <si>
    <t>common for all customers</t>
  </si>
  <si>
    <t>Backend settings name</t>
  </si>
  <si>
    <t>4/ Suppression avec toutes les dépendances</t>
  </si>
  <si>
    <t>3/ Suppression de flux + suppression DNS Publique</t>
  </si>
  <si>
    <t>2/ Ajout de flux + entrées DNS publique</t>
  </si>
  <si>
    <t>1/ Creation initiale avec 1 ou plusieurs flux + entrées DNS publique</t>
  </si>
  <si>
    <t>Timeout</t>
  </si>
  <si>
    <t>test</t>
  </si>
  <si>
    <t>Public IP</t>
  </si>
  <si>
    <t>az account list -o table</t>
  </si>
  <si>
    <t>az account show --query name -o tsv</t>
  </si>
  <si>
    <t>AGW Resource group</t>
  </si>
  <si>
    <t>DNS Resource group</t>
  </si>
  <si>
    <t>Topic</t>
  </si>
  <si>
    <t>Command description</t>
  </si>
  <si>
    <t>Get list of all subscriptions</t>
  </si>
  <si>
    <t>Get name of the selected subscription</t>
  </si>
  <si>
    <t>General CLI commands</t>
  </si>
  <si>
    <t>TODO</t>
  </si>
  <si>
    <t xml:space="preserve">  - Use CLI variables</t>
  </si>
  <si>
    <t xml:space="preserve">   - Add comments in the CLI scripts</t>
  </si>
  <si>
    <t>rg-services-wayo-prodtemp-ne</t>
  </si>
  <si>
    <t>Load Balancer</t>
  </si>
  <si>
    <t>lbe-multi-multi-prodtemp-ne</t>
  </si>
  <si>
    <t>Certificate Name</t>
  </si>
  <si>
    <t>eurys</t>
  </si>
  <si>
    <t>SVCREAJV</t>
  </si>
  <si>
    <t>az group list</t>
  </si>
  <si>
    <t>List of resources groups</t>
  </si>
  <si>
    <t>Resource group</t>
  </si>
  <si>
    <t>List of resources groups (JSON)</t>
  </si>
  <si>
    <t>az group list --output table</t>
  </si>
  <si>
    <t>backup</t>
  </si>
  <si>
    <t>hubis</t>
  </si>
  <si>
    <t>SV23I67</t>
  </si>
  <si>
    <t>devis</t>
  </si>
  <si>
    <t>prodis</t>
  </si>
  <si>
    <t>devsuez</t>
  </si>
  <si>
    <t>prodsuez</t>
  </si>
  <si>
    <t>rgldw</t>
  </si>
  <si>
    <t>thierry.maldonado@suez.com</t>
  </si>
  <si>
    <t>SVMRE006</t>
  </si>
  <si>
    <t>Customer/Project</t>
  </si>
  <si>
    <t>Prod IS</t>
  </si>
  <si>
    <t>Dev Suez</t>
  </si>
  <si>
    <t>Prod Suez</t>
  </si>
  <si>
    <t>Dev IS</t>
  </si>
  <si>
    <t>Hub IS</t>
  </si>
  <si>
    <t>SandBox IS</t>
  </si>
  <si>
    <t>datahistorian</t>
  </si>
  <si>
    <t>waiwi</t>
  </si>
  <si>
    <t>pocultimate</t>
  </si>
  <si>
    <t>SW009028</t>
  </si>
  <si>
    <t>rg-infra-network-northeurope</t>
  </si>
  <si>
    <t>Env.</t>
  </si>
  <si>
    <t>aqwn</t>
  </si>
  <si>
    <t>sef</t>
  </si>
  <si>
    <t>melissa.parot@suez.com</t>
  </si>
  <si>
    <t>SWAQV002</t>
  </si>
  <si>
    <t>Result Folder</t>
  </si>
  <si>
    <t>Base Filename</t>
  </si>
  <si>
    <t>CLI Execute</t>
  </si>
  <si>
    <t>CLIResult</t>
  </si>
  <si>
    <t>notepad.exe</t>
  </si>
  <si>
    <t>C:\Program Files (x86)\Notepad++\notepad++.exe</t>
  </si>
  <si>
    <t>xxxxxxxxxxxxx</t>
  </si>
  <si>
    <t>Backend Pool</t>
  </si>
  <si>
    <t>Flows</t>
  </si>
  <si>
    <t>Backend Pool Name</t>
  </si>
  <si>
    <t>agw-suez-prod-ne</t>
  </si>
  <si>
    <t>10.191.218.50</t>
  </si>
  <si>
    <t>appGwPrivateFrontendIpIPv4</t>
  </si>
  <si>
    <t>app.3s-sw.green.intra</t>
  </si>
  <si>
    <t>"publisher": "MicrosoftWindowsServer",</t>
  </si>
  <si>
    <t>                        "offer": "WindowsServer",</t>
  </si>
  <si>
    <t>                        "sku": "2022-datacenter-azure-edition",</t>
  </si>
  <si>
    <t>                        "version": "latest"</t>
  </si>
  <si>
    <t>az vm list-sizes --location northeurope  --query "[?name=='Standard_D4as_v5']"</t>
  </si>
  <si>
    <t>az vm list-skus --location northeurope --query "[].{name:name, numberOfCores: numberOfCores, ramInMb: memoryInMb, price: meterRates.standardUnitPrice}" -o table | grep Standard_D4as_v5</t>
  </si>
  <si>
    <t>10.191.218.69</t>
  </si>
  <si>
    <t>aqwn-sef-preprod-backend</t>
  </si>
  <si>
    <t xml:space="preserve">az network application-gateway frontend-port list --gateway-name agw-suez-prod-ne  --resource-group rg-infra-network-northeurope </t>
  </si>
  <si>
    <t>port_443</t>
  </si>
  <si>
    <t>port_80</t>
  </si>
  <si>
    <t>az network application-gateway redirect-config list --gateway-name agw-suez-prod-ne --resource-group rg-infra-network-northeurope</t>
  </si>
  <si>
    <t>List des redirect rules?</t>
  </si>
  <si>
    <t>-</t>
  </si>
  <si>
    <t>(</t>
  </si>
  <si>
    <t>rg-tests-xops-devt-ne</t>
  </si>
  <si>
    <t>Vnet resource group</t>
  </si>
  <si>
    <t>vnet-dsseswayodev01</t>
  </si>
  <si>
    <t>Vnet</t>
  </si>
  <si>
    <t>Subnet_App_01</t>
  </si>
  <si>
    <t>#1</t>
  </si>
  <si>
    <t>xops</t>
  </si>
  <si>
    <t>ops</t>
  </si>
  <si>
    <t>vm Type (web, sql, app)</t>
  </si>
  <si>
    <t>VM name</t>
  </si>
  <si>
    <t>Location name</t>
  </si>
  <si>
    <t>Location code</t>
  </si>
  <si>
    <t>web</t>
  </si>
  <si>
    <t>sql</t>
  </si>
  <si>
    <t>VM size</t>
  </si>
  <si>
    <t>Standard_B2s</t>
  </si>
  <si>
    <t>Win2016Datacenter</t>
  </si>
  <si>
    <t>VM Password</t>
  </si>
  <si>
    <t>VM Username</t>
  </si>
  <si>
    <t>VM OS Disk type</t>
  </si>
  <si>
    <t>standard ssd  ?????</t>
  </si>
  <si>
    <t>Data Disk type</t>
  </si>
  <si>
    <t>Data disk name</t>
  </si>
  <si>
    <t>Data disk size</t>
  </si>
  <si>
    <t>NSG name</t>
  </si>
  <si>
    <t>Nic name</t>
  </si>
  <si>
    <t>OS disk name</t>
  </si>
  <si>
    <t>VM image (Sku?)</t>
  </si>
  <si>
    <t>Basics</t>
  </si>
  <si>
    <t>Availability options</t>
  </si>
  <si>
    <t>Disk</t>
  </si>
  <si>
    <t>Calculated
Name</t>
  </si>
  <si>
    <t>Context</t>
  </si>
  <si>
    <t>CloudGuard-Internet</t>
  </si>
  <si>
    <t>CloudGuard-KMSAzure</t>
  </si>
  <si>
    <t>CloudGuard-WindowsUpdate</t>
  </si>
  <si>
    <t>secured_by</t>
  </si>
  <si>
    <t>REGULAR</t>
  </si>
  <si>
    <t>TRUE</t>
  </si>
  <si>
    <t>CrowdStrike&amp;Qualys</t>
  </si>
  <si>
    <t>#2</t>
  </si>
  <si>
    <t>#3</t>
  </si>
  <si>
    <t>app</t>
  </si>
  <si>
    <t>Networking</t>
  </si>
  <si>
    <t>42hlDW@)+$PLwfHo&lt;ioC99@5!</t>
  </si>
  <si>
    <t>vm-admin</t>
  </si>
  <si>
    <t>All Tag Script</t>
  </si>
  <si>
    <t>VM Architecture</t>
  </si>
  <si>
    <t>x64</t>
  </si>
  <si>
    <t>Boot diagnostics</t>
  </si>
  <si>
    <t>Disable ! ???</t>
  </si>
  <si>
    <t>No infrastructure redundancy required</t>
  </si>
  <si>
    <t>Security type</t>
  </si>
  <si>
    <t>Standard</t>
  </si>
  <si>
    <t>Vnet Id</t>
  </si>
  <si>
    <t>Vnet name</t>
  </si>
  <si>
    <t>Vnet ID</t>
  </si>
  <si>
    <t>NSG</t>
  </si>
  <si>
    <t>NIC</t>
  </si>
  <si>
    <t>Data Disk</t>
  </si>
  <si>
    <t>VM</t>
  </si>
  <si>
    <t>Computer name</t>
  </si>
  <si>
    <t>5110a6c6-0000-41f5-8056-8819221f6715</t>
  </si>
  <si>
    <t>rg-network-xops-prod-ne</t>
  </si>
  <si>
    <t>agw-hub-prod-ne</t>
  </si>
  <si>
    <t>20.166.248.214</t>
  </si>
  <si>
    <t>appGwPublicFrontendIp</t>
  </si>
  <si>
    <t>#4</t>
  </si>
  <si>
    <t>#5</t>
  </si>
  <si>
    <t>#6</t>
  </si>
  <si>
    <t>Https URL</t>
  </si>
  <si>
    <t>Flows throught the 3S-SW Hub</t>
  </si>
  <si>
    <t>aqwn_aqpt</t>
  </si>
  <si>
    <t>publiacqua</t>
  </si>
  <si>
    <t>nicolas.belpois@suez.com</t>
  </si>
  <si>
    <t>SV00S031</t>
  </si>
  <si>
    <t xml:space="preserve">************************************************************************************************************************_x000D_
*** Command *** :: Define the parameters_x000D_
_x000D_
_x000D_
************************************************************************************************************************_x000D_
*** Command *** set ResourceGroupName=rg-xxxxxxxxxxxxxxx02_x000D_
_x000D_
_x000D_
************************************************************************************************************************_x000D_
*** Command *** set Location=northeurope_x000D_
_x000D_
_x000D_
************************************************************************************************************************_x000D_
*** Command *** set owner_contact=eddy.moren@suez.com_x000D_
_x000D_
_x000D_
************************************************************************************************************************_x000D_
*** Command *** set financial_contact=eddy.moren@suez.com_x000D_
_x000D_
_x000D_
************************************************************************************************************************_x000D_
*** Command *** set security_contact=ludovic.bideau@suez.com_x000D_
_x000D_
_x000D_
************************************************************************************************************************_x000D_
*** Command *** set billing_code=SV23I67_x000D_
_x000D_
_x000D_
************************************************************************************************************************_x000D_
*** Command *** set environment=dev_x000D_
_x000D_
_x000D_
************************************************************************************************************************_x000D_
*** Command *** set application_name=Test_x000D_
_x000D_
_x000D_
************************************************************************************************************************_x000D_
*** Command *** set created_by=GF5490_x000D_
_x000D_
_x000D_
************************************************************************************************************************_x000D_
*** Command *** set date=%DATE%_x000D_
_x000D_
_x000D_
************************************************************************************************************************_x000D_
*** Command *** set created_with=AzureCLI_x000D_
_x000D_
_x000D_
************************************************************************************************************************_x000D_
*** Command *** :: Define the log file path_x000D_
_x000D_
_x000D_
************************************************************************************************************************_x000D_
*** Command *** set LogFilePath=C:\Users\GF5490\Azure.log_x000D_
_x000D_
_x000D_
************************************************************************************************************************_x000D_
*** Command *** az account set --subscription 480c4dad-9dc0-4d1d-9f65-813a4365d5c9_x000D_
_x000D_
_x000D_
************************************************************************************************************************_x000D_
*** Command *** :: Create the resource group with tags and log the output_x000D_
_x000D_
_x000D_
************************************************************************************************************************_x000D_
*** Command *** az group create --name %ResourceGroupName% --location %Location% --tags owner_contact="%owner_contact%" financial_contact="%financial_contact%" security_contact="%security_contact%" billing_code="%billing_code%" environment="%environment%" application_name="%application_name%" created_by="%created_by%" date="%date%" created_with="%created_with%"_x000D_
ERROR: (InvalidDoubleEncodedRequestUri) The request URI 'https://management.azure.com:443/subscriptions/480c4dad-9dc0-4d1d-9f65-813a4365d5c9/resourcegroups/%25ResourceGroupName%25?api-version=2021-04-01' is not valid, because it contains double encoding sequence '%25'._x000D_
Code: InvalidDoubleEncodedRequestUri_x000D_
Message: The request URI 'https://management.azure.com:443/subscriptions/480c4dad-9dc0-4d1d-9f65-813a4365d5c9/resourcegroups/%25ResourceGroupName%25?api-version=2021-04-01' is not valid, because it contains double encoding sequence '%25'._x000D_
_x000D_
_x000D_
</t>
  </si>
  <si>
    <t xml:space="preserve">:: Define the parameters
set ResourceGroupName=rg-xxxxxxxxxxxxxxx02
set Location=northeurope
set owner_contact=eddy.moren@suez.com
set financial_contact=eddy.moren@suez.com
set security_contact=ludovic.bideau@suez.com
set billing_code=SV23I67
set environment=dev
set application_name=Test
set created_by=GF5490
set date=%DATE%
set created_with=AzureCLI
:: Define the log file path
set LogFilePath=C:\Users\GF5490\Azure.log
az account set --subscription 480c4dad-9dc0-4d1d-9f65-813a4365d5c9
:: Create the resource group with tags and log the output
az group create --name %ResourceGroupName% --location %Location% --tags owner_contact="%owner_contact%" financial_contact="%financial_contact%" security_contact="%security_contact%" billing_code="%billing_code%" environment="%environment%" application_name="%application_name%" created_by="%created_by%" date="%date%" created_with="%created_with%" </t>
  </si>
  <si>
    <t>aqpt</t>
  </si>
  <si>
    <t>lyre</t>
  </si>
  <si>
    <t>O:\</t>
  </si>
  <si>
    <t>10.240.4.4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</si>
</sst>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name val="Calibri"/>
      <family val="2"/>
      <scheme val="minor"/>
    </font>
    <font>
      <sz val="8"/>
      <name val="Calibri"/>
      <family val="2"/>
      <scheme val="minor"/>
    </font>
    <font>
      <sz val="9"/>
      <color theme="0"/>
      <name val="Calibri"/>
      <family val="2"/>
      <scheme val="minor"/>
    </font>
    <font>
      <b/>
      <sz val="9"/>
      <color theme="4"/>
      <name val="Calibri"/>
      <family val="2"/>
      <scheme val="minor"/>
    </font>
    <font>
      <b/>
      <sz val="12"/>
      <color rgb="FFC00000"/>
      <name val="Calibri"/>
      <family val="2"/>
      <scheme val="minor"/>
    </font>
    <font>
      <b/>
      <sz val="9"/>
      <color rgb="FFC00000"/>
      <name val="Calibri"/>
      <family val="2"/>
      <scheme val="minor"/>
    </font>
    <font>
      <b/>
      <i/>
      <sz val="9"/>
      <color rgb="FFC00000"/>
      <name val="Calibri"/>
      <family val="2"/>
      <scheme val="minor"/>
    </font>
    <font>
      <sz val="9"/>
      <name val="Calibri"/>
      <family val="2"/>
      <scheme val="minor"/>
    </font>
    <font>
      <b/>
      <sz val="11"/>
      <color rgb="FF800000"/>
      <name val="Calibri"/>
      <family val="2"/>
    </font>
    <font>
      <sz val="9"/>
      <color theme="1" tint="0.14999847407452621"/>
      <name val="Courier New"/>
      <family val="3"/>
    </font>
    <font>
      <b/>
      <sz val="9"/>
      <color theme="3"/>
      <name val="Calibri"/>
      <family val="2"/>
      <scheme val="minor"/>
    </font>
    <font>
      <u/>
      <sz val="11"/>
      <color theme="10"/>
      <name val="Calibri"/>
      <family val="2"/>
      <scheme val="minor"/>
    </font>
    <font>
      <u/>
      <sz val="9"/>
      <color theme="10"/>
      <name val="Calibri"/>
      <family val="2"/>
      <scheme val="minor"/>
    </font>
    <font>
      <sz val="11"/>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7"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9"/>
        <bgColor indexed="64"/>
      </patternFill>
    </fill>
    <fill>
      <patternFill patternType="solid">
        <fgColor theme="5"/>
        <bgColor indexed="64"/>
      </patternFill>
    </fill>
    <fill>
      <patternFill patternType="solid">
        <fgColor theme="3"/>
        <bgColor indexed="64"/>
      </patternFill>
    </fill>
    <fill>
      <patternFill patternType="solid">
        <fgColor rgb="FFC00000"/>
        <bgColor indexed="64"/>
      </patternFill>
    </fill>
    <fill>
      <patternFill patternType="solid">
        <fgColor theme="8" tint="0.79998168889431442"/>
        <bgColor indexed="64"/>
      </patternFill>
    </fill>
    <fill>
      <patternFill patternType="solid">
        <fgColor rgb="FFFFCC99"/>
        <bgColor indexed="64"/>
      </patternFill>
    </fill>
    <fill>
      <patternFill patternType="solid">
        <fgColor theme="9" tint="0.79998168889431442"/>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diagonal/>
    </border>
    <border>
      <left style="thin">
        <color theme="4" tint="0.59996337778862885"/>
      </left>
      <right style="thin">
        <color theme="4" tint="0.59996337778862885"/>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right style="thin">
        <color theme="4" tint="0.59996337778862885"/>
      </right>
      <top/>
      <bottom style="thin">
        <color theme="4" tint="0.59996337778862885"/>
      </bottom>
      <diagonal/>
    </border>
    <border>
      <left style="thin">
        <color rgb="FFB4C6E7"/>
      </left>
      <right style="thin">
        <color theme="4" tint="0.59996337778862885"/>
      </right>
      <top style="thin">
        <color rgb="FFB4C6E7"/>
      </top>
      <bottom style="thin">
        <color theme="4" tint="0.59996337778862885"/>
      </bottom>
      <diagonal/>
    </border>
    <border>
      <left style="thin">
        <color theme="4" tint="0.59996337778862885"/>
      </left>
      <right style="thin">
        <color theme="4" tint="0.59996337778862885"/>
      </right>
      <top style="thin">
        <color rgb="FFB4C6E7"/>
      </top>
      <bottom style="thin">
        <color theme="4" tint="0.59996337778862885"/>
      </bottom>
      <diagonal/>
    </border>
    <border>
      <left style="thin">
        <color theme="4" tint="0.59996337778862885"/>
      </left>
      <right/>
      <top style="thin">
        <color rgb="FFB4C6E7"/>
      </top>
      <bottom style="thin">
        <color theme="4" tint="0.59996337778862885"/>
      </bottom>
      <diagonal/>
    </border>
    <border>
      <left style="thin">
        <color theme="4" tint="0.59996337778862885"/>
      </left>
      <right style="thin">
        <color rgb="FFB4C6E7"/>
      </right>
      <top style="thin">
        <color rgb="FFB4C6E7"/>
      </top>
      <bottom style="thin">
        <color theme="4" tint="0.59996337778862885"/>
      </bottom>
      <diagonal/>
    </border>
    <border>
      <left style="thin">
        <color rgb="FFB4C6E7"/>
      </left>
      <right style="thin">
        <color theme="4" tint="0.59996337778862885"/>
      </right>
      <top style="thin">
        <color theme="4" tint="0.59996337778862885"/>
      </top>
      <bottom style="thin">
        <color theme="4" tint="0.59996337778862885"/>
      </bottom>
      <diagonal/>
    </border>
    <border>
      <left style="thin">
        <color theme="4" tint="0.59996337778862885"/>
      </left>
      <right style="thin">
        <color rgb="FFB4C6E7"/>
      </right>
      <top/>
      <bottom style="thin">
        <color theme="4" tint="0.59996337778862885"/>
      </bottom>
      <diagonal/>
    </border>
    <border>
      <left/>
      <right style="thin">
        <color theme="4" tint="0.59996337778862885"/>
      </right>
      <top style="thin">
        <color rgb="FFB4C6E7"/>
      </top>
      <bottom style="thin">
        <color theme="4" tint="0.59996337778862885"/>
      </bottom>
      <diagonal/>
    </border>
    <border>
      <left style="thin">
        <color theme="4" tint="0.59996337778862885"/>
      </left>
      <right style="thin">
        <color theme="4" tint="0.59996337778862885"/>
      </right>
      <top style="thin">
        <color theme="8" tint="0.59996337778862885"/>
      </top>
      <bottom style="thin">
        <color theme="4" tint="0.59996337778862885"/>
      </bottom>
      <diagonal/>
    </border>
    <border>
      <left style="thin">
        <color theme="4" tint="0.59996337778862885"/>
      </left>
      <right style="thin">
        <color theme="8" tint="0.59996337778862885"/>
      </right>
      <top style="thin">
        <color theme="4" tint="0.59996337778862885"/>
      </top>
      <bottom style="thin">
        <color theme="4" tint="0.59996337778862885"/>
      </bottom>
      <diagonal/>
    </border>
    <border>
      <left style="thin">
        <color theme="8"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theme="4" tint="0.59996337778862885"/>
      </left>
      <right style="thin">
        <color theme="4" tint="0.59996337778862885"/>
      </right>
      <top/>
      <bottom/>
      <diagonal/>
    </border>
    <border>
      <left/>
      <right/>
      <top style="thin">
        <color theme="4" tint="0.59996337778862885"/>
      </top>
      <bottom style="thin">
        <color theme="4" tint="0.59996337778862885"/>
      </bottom>
      <diagonal/>
    </border>
    <border>
      <left/>
      <right/>
      <top style="thin">
        <color theme="4" tint="0.59996337778862885"/>
      </top>
      <bottom/>
      <diagonal/>
    </border>
    <border>
      <left/>
      <right style="thin">
        <color theme="4" tint="0.59996337778862885"/>
      </right>
      <top/>
      <bottom/>
      <diagonal/>
    </border>
    <border>
      <left/>
      <right/>
      <top/>
      <bottom style="thin">
        <color theme="4" tint="0.59996337778862885"/>
      </bottom>
      <diagonal/>
    </border>
    <border>
      <left/>
      <right/>
      <top style="thin">
        <color rgb="FFB4C6E7"/>
      </top>
      <bottom style="thin">
        <color theme="4" tint="0.59996337778862885"/>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59996337778862885"/>
      </left>
      <right style="thin">
        <color theme="4" tint="0.59996337778862885"/>
      </right>
      <top style="thin">
        <color theme="4" tint="0.39997558519241921"/>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0" fillId="0" borderId="0" applyNumberFormat="0" applyFill="0" applyBorder="0" applyAlignment="0" applyProtection="0"/>
  </cellStyleXfs>
  <cellXfs count="186">
    <xf numFmtId="0" fontId="0" fillId="0" borderId="0" xfId="0"/>
    <xf numFmtId="0" fontId="18" fillId="0" borderId="0" xfId="0" applyFont="1"/>
    <xf numFmtId="49" fontId="18" fillId="0" borderId="0" xfId="0" applyNumberFormat="1" applyFont="1" applyAlignment="1"/>
    <xf numFmtId="10" fontId="18" fillId="0" borderId="0" xfId="0" applyNumberFormat="1" applyFont="1"/>
    <xf numFmtId="0" fontId="19" fillId="33" borderId="10" xfId="0" applyFont="1" applyFill="1" applyBorder="1"/>
    <xf numFmtId="0" fontId="18" fillId="34" borderId="10" xfId="0" applyFont="1" applyFill="1" applyBorder="1"/>
    <xf numFmtId="0" fontId="18" fillId="35" borderId="11" xfId="0" applyFont="1" applyFill="1" applyBorder="1"/>
    <xf numFmtId="0" fontId="18" fillId="34" borderId="11" xfId="0" applyFont="1" applyFill="1" applyBorder="1"/>
    <xf numFmtId="0" fontId="18" fillId="34" borderId="12" xfId="0" applyFont="1" applyFill="1" applyBorder="1"/>
    <xf numFmtId="0" fontId="18" fillId="35" borderId="12" xfId="0" applyFont="1" applyFill="1" applyBorder="1"/>
    <xf numFmtId="0" fontId="18" fillId="34" borderId="13" xfId="0" applyFont="1" applyFill="1" applyBorder="1"/>
    <xf numFmtId="0" fontId="18" fillId="35" borderId="14" xfId="0" applyFont="1" applyFill="1" applyBorder="1"/>
    <xf numFmtId="0" fontId="18" fillId="35" borderId="10" xfId="0" applyFont="1" applyFill="1" applyBorder="1"/>
    <xf numFmtId="0" fontId="18" fillId="34" borderId="15" xfId="0" applyFont="1" applyFill="1" applyBorder="1"/>
    <xf numFmtId="0" fontId="19" fillId="33" borderId="16" xfId="0" applyFont="1" applyFill="1" applyBorder="1"/>
    <xf numFmtId="0" fontId="19" fillId="33" borderId="17" xfId="0" applyFont="1" applyFill="1" applyBorder="1"/>
    <xf numFmtId="0" fontId="19" fillId="33" borderId="18" xfId="0" applyFont="1" applyFill="1" applyBorder="1"/>
    <xf numFmtId="0" fontId="18" fillId="0" borderId="10" xfId="0" applyFont="1" applyBorder="1"/>
    <xf numFmtId="0" fontId="18" fillId="0" borderId="12" xfId="0" applyFont="1" applyBorder="1"/>
    <xf numFmtId="0" fontId="18" fillId="0" borderId="14" xfId="0" applyFont="1" applyBorder="1" applyAlignment="1">
      <alignment wrapText="1"/>
    </xf>
    <xf numFmtId="0" fontId="18" fillId="0" borderId="11" xfId="0" applyFont="1" applyBorder="1" applyAlignment="1">
      <alignment wrapText="1"/>
    </xf>
    <xf numFmtId="0" fontId="18" fillId="0" borderId="0" xfId="0" applyFont="1" applyAlignment="1">
      <alignment horizontal="left"/>
    </xf>
    <xf numFmtId="0" fontId="18" fillId="34" borderId="14" xfId="0" applyFont="1" applyFill="1" applyBorder="1"/>
    <xf numFmtId="0" fontId="18" fillId="36" borderId="0" xfId="0" applyFont="1" applyFill="1"/>
    <xf numFmtId="0" fontId="18" fillId="37" borderId="0" xfId="0" applyFont="1" applyFill="1"/>
    <xf numFmtId="0" fontId="21" fillId="38" borderId="0" xfId="0" applyFont="1" applyFill="1"/>
    <xf numFmtId="0" fontId="19" fillId="38" borderId="0" xfId="0" applyFont="1" applyFill="1"/>
    <xf numFmtId="0" fontId="19" fillId="37" borderId="0" xfId="0" applyFont="1" applyFill="1"/>
    <xf numFmtId="0" fontId="18" fillId="39" borderId="0" xfId="0" applyFont="1" applyFill="1"/>
    <xf numFmtId="0" fontId="18" fillId="40" borderId="0" xfId="0" applyFont="1" applyFill="1"/>
    <xf numFmtId="0" fontId="18" fillId="35" borderId="14" xfId="0" applyFont="1" applyFill="1" applyBorder="1" applyAlignment="1"/>
    <xf numFmtId="0" fontId="18" fillId="35" borderId="11" xfId="0" applyFont="1" applyFill="1" applyBorder="1" applyAlignment="1"/>
    <xf numFmtId="0" fontId="22" fillId="0" borderId="16" xfId="0" applyNumberFormat="1" applyFont="1" applyFill="1" applyBorder="1" applyAlignment="1"/>
    <xf numFmtId="0" fontId="22" fillId="0" borderId="14" xfId="0" applyNumberFormat="1" applyFont="1" applyFill="1" applyBorder="1" applyAlignment="1"/>
    <xf numFmtId="0" fontId="22" fillId="0" borderId="11" xfId="0" applyNumberFormat="1" applyFont="1" applyFill="1" applyBorder="1" applyAlignment="1"/>
    <xf numFmtId="0" fontId="18" fillId="35" borderId="10" xfId="0" applyNumberFormat="1" applyFont="1" applyFill="1" applyBorder="1"/>
    <xf numFmtId="0" fontId="18" fillId="35" borderId="14" xfId="0" applyNumberFormat="1" applyFont="1" applyFill="1" applyBorder="1" applyAlignment="1"/>
    <xf numFmtId="0" fontId="21" fillId="39" borderId="0" xfId="0" applyFont="1" applyFill="1"/>
    <xf numFmtId="0" fontId="18" fillId="0" borderId="14" xfId="0" applyFont="1" applyBorder="1" applyAlignment="1"/>
    <xf numFmtId="0" fontId="23" fillId="0" borderId="0" xfId="0" applyFont="1"/>
    <xf numFmtId="0" fontId="18" fillId="0" borderId="14" xfId="0" applyNumberFormat="1" applyFont="1" applyBorder="1" applyAlignment="1">
      <alignment wrapText="1"/>
    </xf>
    <xf numFmtId="0" fontId="18" fillId="0" borderId="16" xfId="0" applyNumberFormat="1" applyFont="1" applyBorder="1" applyAlignment="1">
      <alignment wrapText="1"/>
    </xf>
    <xf numFmtId="0" fontId="18" fillId="0" borderId="11" xfId="0" applyNumberFormat="1" applyFont="1" applyBorder="1" applyAlignment="1">
      <alignment wrapText="1"/>
    </xf>
    <xf numFmtId="0" fontId="19" fillId="33" borderId="25" xfId="0" applyFont="1" applyFill="1" applyBorder="1"/>
    <xf numFmtId="0" fontId="24" fillId="0" borderId="0" xfId="0" applyFont="1"/>
    <xf numFmtId="0" fontId="25" fillId="0" borderId="0" xfId="0" applyFont="1"/>
    <xf numFmtId="0" fontId="19" fillId="33" borderId="19" xfId="0" applyFont="1" applyFill="1" applyBorder="1"/>
    <xf numFmtId="0" fontId="19" fillId="33" borderId="20" xfId="0" applyFont="1" applyFill="1" applyBorder="1"/>
    <xf numFmtId="0" fontId="19" fillId="33" borderId="21" xfId="0" applyFont="1" applyFill="1" applyBorder="1"/>
    <xf numFmtId="0" fontId="19" fillId="33" borderId="22" xfId="0" applyFont="1" applyFill="1" applyBorder="1" applyAlignment="1">
      <alignment horizontal="left"/>
    </xf>
    <xf numFmtId="0" fontId="26" fillId="34" borderId="23" xfId="0" applyFont="1" applyFill="1" applyBorder="1"/>
    <xf numFmtId="0" fontId="26" fillId="34" borderId="10" xfId="0" applyFont="1" applyFill="1" applyBorder="1"/>
    <xf numFmtId="0" fontId="26" fillId="34" borderId="14" xfId="0" applyFont="1" applyFill="1" applyBorder="1"/>
    <xf numFmtId="0" fontId="26" fillId="34" borderId="24" xfId="0" applyFont="1" applyFill="1" applyBorder="1" applyAlignment="1">
      <alignment horizontal="left"/>
    </xf>
    <xf numFmtId="0" fontId="19" fillId="33" borderId="20" xfId="0" applyFont="1" applyFill="1" applyBorder="1" applyAlignment="1">
      <alignment horizontal="left"/>
    </xf>
    <xf numFmtId="0" fontId="26" fillId="34" borderId="10" xfId="0" applyFont="1" applyFill="1" applyBorder="1" applyAlignment="1">
      <alignment horizontal="left" vertical="top"/>
    </xf>
    <xf numFmtId="0" fontId="19" fillId="33" borderId="17" xfId="0" applyFont="1" applyFill="1" applyBorder="1" applyAlignment="1">
      <alignment horizontal="left"/>
    </xf>
    <xf numFmtId="0" fontId="26" fillId="34" borderId="15" xfId="0" applyFont="1" applyFill="1" applyBorder="1"/>
    <xf numFmtId="0" fontId="26" fillId="0" borderId="10" xfId="0" applyFont="1" applyBorder="1"/>
    <xf numFmtId="0" fontId="26" fillId="34" borderId="16" xfId="0" applyFont="1" applyFill="1" applyBorder="1" applyAlignment="1">
      <alignment horizontal="left"/>
    </xf>
    <xf numFmtId="0" fontId="26" fillId="34" borderId="13" xfId="0" applyFont="1" applyFill="1" applyBorder="1"/>
    <xf numFmtId="0" fontId="26" fillId="34" borderId="12" xfId="0" applyFont="1" applyFill="1" applyBorder="1"/>
    <xf numFmtId="0" fontId="26" fillId="0" borderId="12" xfId="0" applyFont="1" applyBorder="1"/>
    <xf numFmtId="0" fontId="26" fillId="34" borderId="11" xfId="0" applyFont="1" applyFill="1" applyBorder="1"/>
    <xf numFmtId="0" fontId="26" fillId="34" borderId="11" xfId="0" applyFont="1" applyFill="1" applyBorder="1" applyAlignment="1">
      <alignment horizontal="left"/>
    </xf>
    <xf numFmtId="0" fontId="26" fillId="0" borderId="14" xfId="0" applyFont="1" applyBorder="1"/>
    <xf numFmtId="0" fontId="26" fillId="0" borderId="11" xfId="0" applyFont="1" applyBorder="1" applyAlignment="1">
      <alignment horizontal="left"/>
    </xf>
    <xf numFmtId="0" fontId="26" fillId="34" borderId="12" xfId="0" applyFont="1" applyFill="1" applyBorder="1" applyAlignment="1">
      <alignment horizontal="left"/>
    </xf>
    <xf numFmtId="0" fontId="26" fillId="0" borderId="11" xfId="0" applyFont="1" applyBorder="1"/>
    <xf numFmtId="0" fontId="26" fillId="0" borderId="13" xfId="0" applyFont="1" applyBorder="1"/>
    <xf numFmtId="0" fontId="19" fillId="33" borderId="19" xfId="0" applyFont="1" applyFill="1" applyBorder="1" applyAlignment="1">
      <alignment horizontal="center"/>
    </xf>
    <xf numFmtId="0" fontId="26" fillId="34" borderId="10" xfId="0" applyFont="1" applyFill="1" applyBorder="1" applyAlignment="1">
      <alignment horizontal="left"/>
    </xf>
    <xf numFmtId="0" fontId="26" fillId="0" borderId="15" xfId="0" applyFont="1" applyBorder="1"/>
    <xf numFmtId="0" fontId="26" fillId="0" borderId="0" xfId="0" applyFont="1"/>
    <xf numFmtId="0" fontId="19" fillId="33" borderId="0" xfId="0" applyFont="1" applyFill="1"/>
    <xf numFmtId="0" fontId="26" fillId="0" borderId="10" xfId="0" applyFont="1" applyBorder="1" applyAlignment="1">
      <alignment horizontal="left"/>
    </xf>
    <xf numFmtId="0" fontId="19" fillId="33" borderId="10" xfId="0" applyFont="1" applyFill="1" applyBorder="1" applyAlignment="1">
      <alignment horizontal="left"/>
    </xf>
    <xf numFmtId="0" fontId="26" fillId="34" borderId="12" xfId="0" applyFont="1" applyFill="1" applyBorder="1" applyAlignment="1">
      <alignment vertical="top"/>
    </xf>
    <xf numFmtId="0" fontId="26" fillId="34" borderId="12" xfId="0" applyFont="1" applyFill="1" applyBorder="1" applyAlignment="1">
      <alignment horizontal="left" vertical="top"/>
    </xf>
    <xf numFmtId="0" fontId="26" fillId="34" borderId="10" xfId="0" applyFont="1" applyFill="1" applyBorder="1" applyAlignment="1">
      <alignment vertical="top"/>
    </xf>
    <xf numFmtId="0" fontId="26" fillId="34" borderId="17" xfId="0" applyFont="1" applyFill="1" applyBorder="1" applyAlignment="1">
      <alignment vertical="top"/>
    </xf>
    <xf numFmtId="0" fontId="26" fillId="34" borderId="17" xfId="0" applyFont="1" applyFill="1" applyBorder="1" applyAlignment="1">
      <alignment horizontal="left" vertical="top"/>
    </xf>
    <xf numFmtId="0" fontId="26" fillId="34" borderId="17" xfId="0" applyFont="1" applyFill="1" applyBorder="1"/>
    <xf numFmtId="0" fontId="26" fillId="34" borderId="23" xfId="0" applyFont="1" applyFill="1" applyBorder="1" applyAlignment="1">
      <alignment horizontal="left" vertical="top"/>
    </xf>
    <xf numFmtId="0" fontId="18" fillId="34" borderId="14" xfId="0" applyFont="1" applyFill="1" applyBorder="1" applyAlignment="1"/>
    <xf numFmtId="0" fontId="18" fillId="34" borderId="11" xfId="0" applyFont="1" applyFill="1" applyBorder="1" applyAlignment="1"/>
    <xf numFmtId="0" fontId="18" fillId="34" borderId="10" xfId="0" applyNumberFormat="1" applyFont="1" applyFill="1" applyBorder="1"/>
    <xf numFmtId="0" fontId="18" fillId="34" borderId="14" xfId="0" applyNumberFormat="1" applyFont="1" applyFill="1" applyBorder="1" applyAlignment="1"/>
    <xf numFmtId="0" fontId="19" fillId="33" borderId="26" xfId="0" applyFont="1" applyFill="1" applyBorder="1"/>
    <xf numFmtId="0" fontId="18" fillId="34" borderId="26" xfId="0" applyFont="1" applyFill="1" applyBorder="1"/>
    <xf numFmtId="0" fontId="19" fillId="33" borderId="27" xfId="0" applyFont="1" applyFill="1" applyBorder="1"/>
    <xf numFmtId="0" fontId="19" fillId="33" borderId="28" xfId="0" applyFont="1" applyFill="1" applyBorder="1"/>
    <xf numFmtId="0" fontId="18" fillId="34" borderId="27" xfId="0" applyFont="1" applyFill="1" applyBorder="1" applyAlignment="1">
      <alignment horizontal="center"/>
    </xf>
    <xf numFmtId="0" fontId="18" fillId="0" borderId="28" xfId="0" applyFont="1" applyBorder="1"/>
    <xf numFmtId="0" fontId="19" fillId="33" borderId="30" xfId="0" applyFont="1" applyFill="1" applyBorder="1"/>
    <xf numFmtId="0" fontId="19" fillId="33" borderId="0" xfId="0" applyFont="1" applyFill="1" applyBorder="1"/>
    <xf numFmtId="0" fontId="19" fillId="37" borderId="0" xfId="0" applyFont="1" applyFill="1" applyAlignment="1"/>
    <xf numFmtId="0" fontId="19" fillId="39" borderId="0" xfId="0" applyFont="1" applyFill="1"/>
    <xf numFmtId="0" fontId="26" fillId="35" borderId="12" xfId="0" applyFont="1" applyFill="1" applyBorder="1"/>
    <xf numFmtId="0" fontId="19" fillId="33" borderId="30" xfId="0" applyFont="1" applyFill="1" applyBorder="1" applyAlignment="1">
      <alignment horizontal="left"/>
    </xf>
    <xf numFmtId="0" fontId="26" fillId="0" borderId="10" xfId="0" applyFont="1" applyFill="1" applyBorder="1" applyAlignment="1">
      <alignment horizontal="left" vertical="top" wrapText="1"/>
    </xf>
    <xf numFmtId="0" fontId="26" fillId="34" borderId="15" xfId="0" applyFont="1" applyFill="1" applyBorder="1" applyAlignment="1">
      <alignment horizontal="left" vertical="top"/>
    </xf>
    <xf numFmtId="0" fontId="18" fillId="0" borderId="10" xfId="0" applyFont="1" applyFill="1" applyBorder="1" applyAlignment="1">
      <alignment horizontal="left" vertical="top"/>
    </xf>
    <xf numFmtId="0" fontId="18" fillId="0" borderId="10" xfId="0" applyNumberFormat="1" applyFont="1" applyFill="1" applyBorder="1" applyAlignment="1">
      <alignment horizontal="left" vertical="top"/>
    </xf>
    <xf numFmtId="0" fontId="26" fillId="35" borderId="12" xfId="0" applyNumberFormat="1" applyFont="1" applyFill="1" applyBorder="1"/>
    <xf numFmtId="0" fontId="19" fillId="39" borderId="0" xfId="0" applyFont="1" applyFill="1" applyAlignment="1">
      <alignment horizontal="center"/>
    </xf>
    <xf numFmtId="0" fontId="26" fillId="0" borderId="34" xfId="0" applyFont="1" applyFill="1" applyBorder="1" applyAlignment="1">
      <alignment vertical="top" wrapText="1"/>
    </xf>
    <xf numFmtId="0" fontId="26" fillId="0" borderId="29" xfId="0" applyFont="1" applyFill="1" applyBorder="1" applyAlignment="1">
      <alignment vertical="top" wrapText="1"/>
    </xf>
    <xf numFmtId="0" fontId="26" fillId="0" borderId="0" xfId="0" applyFont="1" applyFill="1" applyBorder="1" applyAlignment="1">
      <alignment vertical="top" wrapText="1"/>
    </xf>
    <xf numFmtId="0" fontId="26" fillId="0" borderId="32" xfId="0" applyFont="1" applyFill="1" applyBorder="1" applyAlignment="1">
      <alignment vertical="top" wrapText="1"/>
    </xf>
    <xf numFmtId="0" fontId="26" fillId="0" borderId="13" xfId="0" applyFont="1" applyFill="1" applyBorder="1" applyAlignment="1">
      <alignment vertical="top" wrapText="1"/>
    </xf>
    <xf numFmtId="0" fontId="26" fillId="0" borderId="33" xfId="0" applyFont="1" applyFill="1" applyBorder="1" applyAlignment="1">
      <alignment vertical="top" wrapText="1"/>
    </xf>
    <xf numFmtId="0" fontId="26" fillId="0" borderId="16" xfId="0" applyFont="1" applyFill="1" applyBorder="1" applyAlignment="1">
      <alignment vertical="top" wrapText="1"/>
    </xf>
    <xf numFmtId="0" fontId="26" fillId="0" borderId="18" xfId="0" applyFont="1" applyFill="1" applyBorder="1" applyAlignment="1">
      <alignment vertical="top" wrapText="1"/>
    </xf>
    <xf numFmtId="0" fontId="26" fillId="0" borderId="11" xfId="0" applyFont="1" applyFill="1" applyBorder="1" applyAlignment="1">
      <alignment vertical="top"/>
    </xf>
    <xf numFmtId="0" fontId="18" fillId="34" borderId="23" xfId="0" applyFont="1" applyFill="1" applyBorder="1"/>
    <xf numFmtId="0" fontId="18" fillId="34" borderId="15" xfId="0" applyFont="1" applyFill="1" applyBorder="1" applyAlignment="1">
      <alignment horizontal="left"/>
    </xf>
    <xf numFmtId="0" fontId="18" fillId="0" borderId="15" xfId="0" applyFont="1" applyFill="1" applyBorder="1"/>
    <xf numFmtId="0" fontId="19" fillId="39" borderId="10" xfId="0" applyFont="1" applyFill="1" applyBorder="1"/>
    <xf numFmtId="0" fontId="18" fillId="39" borderId="10" xfId="0" applyFont="1" applyFill="1" applyBorder="1"/>
    <xf numFmtId="0" fontId="18" fillId="0" borderId="15" xfId="0" applyFont="1" applyFill="1" applyBorder="1" applyAlignment="1">
      <alignment horizontal="left" vertical="top" wrapText="1"/>
    </xf>
    <xf numFmtId="0" fontId="19" fillId="33" borderId="25" xfId="0" applyFont="1" applyFill="1" applyBorder="1" applyAlignment="1">
      <alignment vertical="top"/>
    </xf>
    <xf numFmtId="0" fontId="19" fillId="33" borderId="35" xfId="0" applyFont="1" applyFill="1" applyBorder="1"/>
    <xf numFmtId="0" fontId="18" fillId="0" borderId="12" xfId="0" applyFont="1" applyBorder="1" applyAlignment="1">
      <alignment horizontal="center"/>
    </xf>
    <xf numFmtId="0" fontId="18" fillId="0" borderId="15" xfId="0" applyFont="1" applyFill="1" applyBorder="1" applyAlignment="1">
      <alignment horizontal="left" vertical="top"/>
    </xf>
    <xf numFmtId="0" fontId="19" fillId="39" borderId="36" xfId="0" applyFont="1" applyFill="1" applyBorder="1" applyProtection="1"/>
    <xf numFmtId="0" fontId="19" fillId="33" borderId="19" xfId="0" applyFont="1" applyFill="1" applyBorder="1" applyProtection="1"/>
    <xf numFmtId="0" fontId="19" fillId="33" borderId="20" xfId="0" applyFont="1" applyFill="1" applyBorder="1" applyProtection="1"/>
    <xf numFmtId="0" fontId="19" fillId="33" borderId="39" xfId="0" applyFont="1" applyFill="1" applyBorder="1" applyAlignment="1" applyProtection="1">
      <alignment horizontal="left"/>
    </xf>
    <xf numFmtId="0" fontId="19" fillId="33" borderId="20" xfId="0" applyFont="1" applyFill="1" applyBorder="1" applyAlignment="1" applyProtection="1">
      <alignment horizontal="left"/>
    </xf>
    <xf numFmtId="0" fontId="26" fillId="0" borderId="10" xfId="0" applyFont="1" applyBorder="1" applyAlignment="1" applyProtection="1">
      <alignment horizontal="left" vertical="top" wrapText="1"/>
    </xf>
    <xf numFmtId="0" fontId="19" fillId="39" borderId="37" xfId="0" applyFont="1" applyFill="1" applyBorder="1" applyAlignment="1" applyProtection="1">
      <alignment horizontal="center"/>
    </xf>
    <xf numFmtId="0" fontId="19" fillId="39" borderId="38" xfId="0" applyFont="1" applyFill="1" applyBorder="1" applyAlignment="1" applyProtection="1">
      <alignment horizontal="center"/>
    </xf>
    <xf numFmtId="0" fontId="23" fillId="0" borderId="0" xfId="0" applyFont="1" applyProtection="1"/>
    <xf numFmtId="0" fontId="18" fillId="0" borderId="0" xfId="0" applyFont="1" applyProtection="1"/>
    <xf numFmtId="0" fontId="19" fillId="33" borderId="21" xfId="0" applyFont="1" applyFill="1" applyBorder="1" applyProtection="1"/>
    <xf numFmtId="0" fontId="26" fillId="0" borderId="10" xfId="0" applyFont="1" applyFill="1" applyBorder="1" applyAlignment="1" applyProtection="1">
      <alignment vertical="top" wrapText="1"/>
    </xf>
    <xf numFmtId="0" fontId="25" fillId="0" borderId="0" xfId="0" applyFont="1" applyProtection="1"/>
    <xf numFmtId="0" fontId="19" fillId="33" borderId="0" xfId="0" applyFont="1" applyFill="1" applyBorder="1" applyAlignment="1" applyProtection="1">
      <alignment vertical="top"/>
    </xf>
    <xf numFmtId="0" fontId="29" fillId="42" borderId="11" xfId="0" applyFont="1" applyFill="1" applyBorder="1" applyAlignment="1" applyProtection="1">
      <alignment vertical="top" wrapText="1"/>
    </xf>
    <xf numFmtId="0" fontId="26" fillId="0" borderId="0" xfId="0" applyFont="1" applyFill="1" applyBorder="1" applyAlignment="1" applyProtection="1">
      <alignment vertical="top" wrapText="1"/>
    </xf>
    <xf numFmtId="0" fontId="24" fillId="0" borderId="0" xfId="0" applyFont="1" applyProtection="1"/>
    <xf numFmtId="0" fontId="26" fillId="0" borderId="10" xfId="0" applyFont="1" applyBorder="1" applyAlignment="1" applyProtection="1">
      <alignment horizontal="right" vertical="top" wrapText="1"/>
    </xf>
    <xf numFmtId="0" fontId="19" fillId="33" borderId="30" xfId="0" applyFont="1" applyFill="1" applyBorder="1" applyAlignment="1" applyProtection="1">
      <alignment horizontal="left"/>
    </xf>
    <xf numFmtId="0" fontId="31" fillId="0" borderId="10" xfId="42" applyFont="1" applyBorder="1" applyAlignment="1" applyProtection="1">
      <alignment horizontal="center" vertical="top" wrapText="1"/>
    </xf>
    <xf numFmtId="0" fontId="19" fillId="33" borderId="20" xfId="0" applyFont="1" applyFill="1" applyBorder="1" applyAlignment="1" applyProtection="1">
      <alignment vertical="top"/>
    </xf>
    <xf numFmtId="0" fontId="26" fillId="34" borderId="23" xfId="0" applyFont="1" applyFill="1" applyBorder="1" applyAlignment="1" applyProtection="1">
      <alignment horizontal="left" vertical="top"/>
      <protection locked="0"/>
    </xf>
    <xf numFmtId="0" fontId="26" fillId="34" borderId="10" xfId="0" applyFont="1" applyFill="1" applyBorder="1" applyAlignment="1" applyProtection="1">
      <alignment horizontal="left" vertical="top"/>
      <protection locked="0"/>
    </xf>
    <xf numFmtId="0" fontId="26" fillId="34" borderId="23" xfId="0" applyFont="1" applyFill="1" applyBorder="1" applyAlignment="1" applyProtection="1">
      <alignment horizontal="right" vertical="top"/>
      <protection locked="0"/>
    </xf>
    <xf numFmtId="0" fontId="26" fillId="34" borderId="10" xfId="0" applyFont="1" applyFill="1" applyBorder="1" applyAlignment="1" applyProtection="1">
      <alignment horizontal="right" vertical="top"/>
      <protection locked="0"/>
    </xf>
    <xf numFmtId="0" fontId="18" fillId="43" borderId="23" xfId="0" applyFont="1" applyFill="1" applyBorder="1" applyProtection="1"/>
    <xf numFmtId="0" fontId="26" fillId="43" borderId="10" xfId="0" applyFont="1" applyFill="1" applyBorder="1" applyAlignment="1" applyProtection="1">
      <alignment horizontal="left" vertical="top"/>
    </xf>
    <xf numFmtId="0" fontId="26" fillId="43" borderId="10" xfId="0" applyFont="1" applyFill="1" applyBorder="1" applyAlignment="1" applyProtection="1">
      <alignment horizontal="right" vertical="top"/>
      <protection locked="0"/>
    </xf>
    <xf numFmtId="0" fontId="18" fillId="0" borderId="0" xfId="0" applyFont="1" applyAlignment="1">
      <alignment wrapText="1"/>
    </xf>
    <xf numFmtId="0" fontId="28" fillId="41" borderId="12" xfId="0" applyFont="1" applyFill="1" applyBorder="1" applyAlignment="1">
      <alignment horizontal="left" vertical="top" wrapText="1"/>
    </xf>
    <xf numFmtId="0" fontId="28" fillId="41" borderId="30" xfId="0" applyFont="1" applyFill="1" applyBorder="1" applyAlignment="1">
      <alignment horizontal="left" vertical="top" wrapText="1"/>
    </xf>
    <xf numFmtId="0" fontId="28" fillId="41" borderId="17" xfId="0" applyFont="1" applyFill="1" applyBorder="1" applyAlignment="1">
      <alignment horizontal="left" vertical="top" wrapText="1"/>
    </xf>
    <xf numFmtId="0" fontId="18" fillId="34" borderId="14" xfId="0" applyFont="1" applyFill="1" applyBorder="1" applyAlignment="1">
      <alignment horizontal="left"/>
    </xf>
    <xf numFmtId="0" fontId="18" fillId="34" borderId="31" xfId="0" applyFont="1" applyFill="1" applyBorder="1" applyAlignment="1">
      <alignment horizontal="left"/>
    </xf>
    <xf numFmtId="0" fontId="18" fillId="34" borderId="15" xfId="0" applyFont="1" applyFill="1" applyBorder="1" applyAlignment="1">
      <alignment horizontal="left"/>
    </xf>
    <xf numFmtId="0" fontId="26" fillId="0" borderId="14" xfId="0" quotePrefix="1" applyFont="1" applyFill="1" applyBorder="1" applyAlignment="1">
      <alignment horizontal="left"/>
    </xf>
    <xf numFmtId="0" fontId="26" fillId="0" borderId="31" xfId="0" quotePrefix="1" applyFont="1" applyFill="1" applyBorder="1" applyAlignment="1">
      <alignment horizontal="left"/>
    </xf>
    <xf numFmtId="0" fontId="26" fillId="0" borderId="15" xfId="0" quotePrefix="1" applyFont="1" applyFill="1" applyBorder="1" applyAlignment="1">
      <alignment horizontal="left"/>
    </xf>
    <xf numFmtId="0" fontId="26" fillId="34" borderId="14" xfId="0" quotePrefix="1" applyFont="1" applyFill="1" applyBorder="1" applyAlignment="1">
      <alignment horizontal="left"/>
    </xf>
    <xf numFmtId="0" fontId="26" fillId="34" borderId="31" xfId="0" quotePrefix="1" applyFont="1" applyFill="1" applyBorder="1" applyAlignment="1">
      <alignment horizontal="left"/>
    </xf>
    <xf numFmtId="0" fontId="26" fillId="34" borderId="15" xfId="0" quotePrefix="1" applyFont="1" applyFill="1" applyBorder="1" applyAlignment="1">
      <alignment horizontal="left"/>
    </xf>
    <xf numFmtId="0" fontId="19" fillId="33" borderId="29" xfId="0" applyFont="1" applyFill="1" applyBorder="1" applyAlignment="1">
      <alignment horizontal="center"/>
    </xf>
    <xf numFmtId="0" fontId="19" fillId="33" borderId="0" xfId="0" applyFont="1" applyFill="1" applyBorder="1" applyAlignment="1">
      <alignment horizontal="center"/>
    </xf>
    <xf numFmtId="0" fontId="19" fillId="33" borderId="33" xfId="0" applyFont="1" applyFill="1" applyBorder="1" applyAlignment="1">
      <alignment horizontal="center"/>
    </xf>
    <xf numFmtId="0" fontId="29" fillId="42" borderId="11" xfId="0" applyFont="1" applyFill="1" applyBorder="1" applyAlignment="1">
      <alignment horizontal="left" vertical="top" wrapText="1"/>
    </xf>
    <xf numFmtId="0" fontId="29" fillId="42" borderId="32" xfId="0" applyFont="1" applyFill="1" applyBorder="1" applyAlignment="1">
      <alignment horizontal="left" vertical="top" wrapText="1"/>
    </xf>
    <xf numFmtId="0" fontId="29" fillId="42" borderId="13" xfId="0" applyFont="1" applyFill="1" applyBorder="1" applyAlignment="1">
      <alignment horizontal="left" vertical="top" wrapText="1"/>
    </xf>
    <xf numFmtId="0" fontId="29" fillId="42" borderId="29" xfId="0" applyFont="1" applyFill="1" applyBorder="1" applyAlignment="1">
      <alignment horizontal="left" vertical="top" wrapText="1"/>
    </xf>
    <xf numFmtId="0" fontId="29" fillId="42" borderId="0" xfId="0" applyFont="1" applyFill="1" applyBorder="1" applyAlignment="1">
      <alignment horizontal="left" vertical="top" wrapText="1"/>
    </xf>
    <xf numFmtId="0" fontId="29" fillId="42" borderId="33" xfId="0" applyFont="1" applyFill="1" applyBorder="1" applyAlignment="1">
      <alignment horizontal="left" vertical="top" wrapText="1"/>
    </xf>
    <xf numFmtId="0" fontId="29" fillId="42" borderId="16" xfId="0" applyFont="1" applyFill="1" applyBorder="1" applyAlignment="1">
      <alignment horizontal="left" vertical="top" wrapText="1"/>
    </xf>
    <xf numFmtId="0" fontId="29" fillId="42" borderId="34" xfId="0" applyFont="1" applyFill="1" applyBorder="1" applyAlignment="1">
      <alignment horizontal="left" vertical="top" wrapText="1"/>
    </xf>
    <xf numFmtId="0" fontId="29" fillId="42" borderId="18" xfId="0" applyFont="1" applyFill="1" applyBorder="1" applyAlignment="1">
      <alignment horizontal="left" vertical="top" wrapText="1"/>
    </xf>
    <xf numFmtId="0" fontId="19" fillId="39" borderId="30" xfId="0" applyFont="1" applyFill="1" applyBorder="1" applyAlignment="1">
      <alignment horizontal="center" vertical="center" wrapText="1"/>
    </xf>
    <xf numFmtId="0" fontId="19" fillId="39" borderId="17" xfId="0" applyFont="1" applyFill="1" applyBorder="1" applyAlignment="1">
      <alignment horizontal="center" vertical="center" wrapText="1"/>
    </xf>
    <xf numFmtId="0" fontId="19" fillId="39" borderId="12" xfId="0" applyFont="1" applyFill="1" applyBorder="1" applyAlignment="1">
      <alignment horizontal="center" vertical="center"/>
    </xf>
    <xf numFmtId="0" fontId="19" fillId="39" borderId="30" xfId="0" applyFont="1" applyFill="1" applyBorder="1" applyAlignment="1">
      <alignment horizontal="center" vertical="center"/>
    </xf>
    <xf numFmtId="0" fontId="19" fillId="39" borderId="17" xfId="0" applyFont="1" applyFill="1" applyBorder="1" applyAlignment="1">
      <alignment horizontal="center" vertical="center"/>
    </xf>
    <xf numFmtId="0" fontId="19" fillId="39" borderId="10" xfId="0" applyFont="1" applyFill="1" applyBorder="1" applyAlignment="1">
      <alignment horizontal="center" vertical="center"/>
    </xf>
    <xf numFmtId="0" fontId="18" fillId="0" borderId="0" xfId="0" applyFont="1" applyAlignment="1">
      <alignment horizontal="left"/>
    </xf>
    <xf numFmtId="0" fontId="24" fillId="0" borderId="0" xfId="0" applyFont="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5">
    <dxf>
      <font>
        <strike val="0"/>
        <outline val="0"/>
        <shadow val="0"/>
        <u val="none"/>
        <vertAlign val="baseline"/>
        <sz val="9"/>
        <color theme="1"/>
        <name val="Calibri"/>
        <family val="2"/>
        <scheme val="minor"/>
      </font>
      <numFmt numFmtId="30" formatCode="@"/>
      <alignment horizontal="general" vertical="bottom" textRotation="0" wrapText="0" indent="0" justifyLastLine="0" shrinkToFit="0" readingOrder="0"/>
    </dxf>
    <dxf>
      <font>
        <strike val="0"/>
        <outline val="0"/>
        <shadow val="0"/>
        <u val="none"/>
        <vertAlign val="baseline"/>
        <sz val="9"/>
        <color theme="1"/>
        <name val="Calibri"/>
        <family val="2"/>
        <scheme val="minor"/>
      </font>
      <numFmt numFmtId="30" formatCode="@"/>
      <alignment horizontal="general" vertical="bottom" textRotation="0" wrapText="0" indent="0" justifyLastLine="0" shrinkToFit="0" readingOrder="0"/>
    </dxf>
    <dxf>
      <font>
        <strike val="0"/>
        <outline val="0"/>
        <shadow val="0"/>
        <u val="none"/>
        <vertAlign val="baseline"/>
        <sz val="9"/>
        <color theme="1"/>
        <name val="Calibri"/>
        <family val="2"/>
        <scheme val="minor"/>
      </font>
      <numFmt numFmtId="14" formatCode="0.00%"/>
    </dxf>
    <dxf>
      <font>
        <strike val="0"/>
        <outline val="0"/>
        <shadow val="0"/>
        <u val="none"/>
        <vertAlign val="baseline"/>
        <sz val="9"/>
        <color theme="1"/>
        <name val="Calibri"/>
        <family val="2"/>
        <scheme val="minor"/>
      </font>
      <numFmt numFmtId="30" formatCode="@"/>
      <alignment horizontal="general" vertical="bottom" textRotation="0" wrapText="0" indent="0" justifyLastLine="0" shrinkToFit="0" readingOrder="0"/>
    </dxf>
    <dxf>
      <font>
        <strike val="0"/>
        <outline val="0"/>
        <shadow val="0"/>
        <u val="none"/>
        <vertAlign val="baseline"/>
        <sz val="9"/>
        <color theme="1"/>
        <name val="Calibri"/>
        <family val="2"/>
        <scheme val="minor"/>
      </font>
      <numFmt numFmtId="30" formatCode="@"/>
      <alignment horizontal="general" vertical="bottom" textRotation="0" wrapText="0" indent="0" justifyLastLine="0" shrinkToFit="0" readingOrder="0"/>
    </dxf>
    <dxf>
      <font>
        <strike val="0"/>
        <outline val="0"/>
        <shadow val="0"/>
        <u val="none"/>
        <vertAlign val="baseline"/>
        <sz val="9"/>
        <color theme="1"/>
        <name val="Calibri"/>
        <family val="2"/>
        <scheme val="minor"/>
      </font>
      <numFmt numFmtId="30" formatCode="@"/>
      <alignment horizontal="general" vertical="bottom"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outline="0">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none">
          <fgColor indexed="64"/>
          <bgColor auto="1"/>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b val="0"/>
        <i val="0"/>
        <strike val="0"/>
        <condense val="0"/>
        <extend val="0"/>
        <outline val="0"/>
        <shadow val="0"/>
        <u val="none"/>
        <vertAlign val="baseline"/>
        <sz val="9"/>
        <color auto="1"/>
        <name val="Calibri"/>
        <family val="2"/>
        <scheme val="none"/>
      </font>
      <fill>
        <patternFill patternType="solid">
          <fgColor rgb="FF000000"/>
          <bgColor rgb="FFFFF2CC"/>
        </patternFill>
      </fill>
    </dxf>
    <dxf>
      <border>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border diagonalUp="0" diagonalDown="0" outline="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b val="0"/>
        <i val="0"/>
        <strike val="0"/>
        <condense val="0"/>
        <extend val="0"/>
        <outline val="0"/>
        <shadow val="0"/>
        <u val="none"/>
        <vertAlign val="baseline"/>
        <sz val="9"/>
        <color auto="1"/>
        <name val="Calibri"/>
        <family val="2"/>
        <scheme val="none"/>
      </font>
      <fill>
        <patternFill patternType="solid">
          <fgColor rgb="FF000000"/>
          <bgColor rgb="FFFFF2CC"/>
        </patternFill>
      </fill>
    </dxf>
    <dxf>
      <border>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alignment horizontal="left"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bottom" textRotation="0" wrapText="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border diagonalUp="0" diagonalDown="0" outline="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right style="thin">
          <color theme="4" tint="0.59996337778862885"/>
        </right>
        <top style="thin">
          <color theme="4" tint="0.59996337778862885"/>
        </top>
        <bottom style="thin">
          <color theme="4" tint="0.59996337778862885"/>
        </bottom>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b val="0"/>
        <i val="0"/>
        <strike val="0"/>
        <condense val="0"/>
        <extend val="0"/>
        <outline val="0"/>
        <shadow val="0"/>
        <u val="none"/>
        <vertAlign val="baseline"/>
        <sz val="9"/>
        <color auto="1"/>
        <name val="Calibri"/>
        <family val="2"/>
        <scheme val="none"/>
      </font>
      <fill>
        <patternFill patternType="solid">
          <fgColor rgb="FF000000"/>
          <bgColor rgb="FFFFF2CC"/>
        </patternFill>
      </fill>
    </dxf>
    <dxf>
      <border>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alignment horizontal="left" vertical="bottom" textRotation="0" wrapText="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bottom" textRotation="0" wrapText="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numFmt numFmtId="0" formatCode="General"/>
      <border diagonalUp="0" diagonalDown="0" outline="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border diagonalUp="0" diagonalDown="0">
        <left/>
        <right style="thin">
          <color theme="4" tint="0.59996337778862885"/>
        </right>
        <top style="thin">
          <color theme="4" tint="0.59996337778862885"/>
        </top>
        <bottom style="thin">
          <color theme="4" tint="0.59996337778862885"/>
        </bottom>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b val="0"/>
        <i val="0"/>
        <strike val="0"/>
        <condense val="0"/>
        <extend val="0"/>
        <outline val="0"/>
        <shadow val="0"/>
        <u val="none"/>
        <vertAlign val="baseline"/>
        <sz val="9"/>
        <color auto="1"/>
        <name val="Calibri"/>
        <family val="2"/>
        <scheme val="none"/>
      </font>
      <fill>
        <patternFill patternType="solid">
          <fgColor rgb="FF000000"/>
          <bgColor rgb="FFFFF2CC"/>
        </patternFill>
      </fill>
    </dxf>
    <dxf>
      <border>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border diagonalUp="0" diagonalDown="0" outline="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border diagonalUp="0" diagonalDown="0" outline="0">
        <left/>
        <right style="thin">
          <color theme="4" tint="0.59996337778862885"/>
        </right>
        <top style="thin">
          <color theme="4" tint="0.59996337778862885"/>
        </top>
        <bottom style="thin">
          <color theme="4" tint="0.59996337778862885"/>
        </bottom>
      </border>
    </dxf>
    <dxf>
      <border outline="0">
        <top style="thin">
          <color rgb="FFB4C6E7"/>
        </top>
      </border>
    </dxf>
    <dxf>
      <border outline="0">
        <left style="thin">
          <color rgb="FFB4C6E7"/>
        </left>
        <right style="thin">
          <color rgb="FFB4C6E7"/>
        </right>
        <top style="thin">
          <color rgb="FFB4C6E7"/>
        </top>
        <bottom style="thin">
          <color rgb="FFB4C6E7"/>
        </bottom>
      </border>
    </dxf>
    <dxf>
      <font>
        <b val="0"/>
        <i val="0"/>
        <strike val="0"/>
        <condense val="0"/>
        <extend val="0"/>
        <outline val="0"/>
        <shadow val="0"/>
        <u val="none"/>
        <vertAlign val="baseline"/>
        <sz val="9"/>
        <color auto="1"/>
        <name val="Calibri"/>
        <family val="2"/>
        <scheme val="none"/>
      </font>
      <fill>
        <patternFill patternType="solid">
          <fgColor rgb="FF000000"/>
          <bgColor rgb="FFFFF2CC"/>
        </patternFill>
      </fill>
    </dxf>
    <dxf>
      <border outline="0">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bottom" textRotation="0" wrapText="0" indent="0" justifyLastLine="0" shrinkToFit="0" readingOrder="0"/>
      <border diagonalUp="0" diagonalDown="0" outline="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border diagonalUp="0" diagonalDown="0" outline="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border diagonalUp="0" diagonalDown="0" outline="0">
        <left/>
        <right style="thin">
          <color theme="4" tint="0.59996337778862885"/>
        </right>
        <top style="thin">
          <color theme="4" tint="0.59996337778862885"/>
        </top>
        <bottom style="thin">
          <color theme="4" tint="0.59996337778862885"/>
        </bottom>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strike val="0"/>
        <outline val="0"/>
        <shadow val="0"/>
        <u val="none"/>
        <vertAlign val="baseline"/>
        <sz val="9"/>
        <name val="Calibri"/>
        <family val="2"/>
        <scheme val="none"/>
      </font>
    </dxf>
    <dxf>
      <border>
        <bottom style="thin">
          <color rgb="FFB4C6E7"/>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val="0"/>
        <i val="0"/>
        <strike val="0"/>
        <condense val="0"/>
        <extend val="0"/>
        <outline val="0"/>
        <shadow val="0"/>
        <u val="none"/>
        <vertAlign val="baseline"/>
        <sz val="9"/>
        <color theme="1"/>
        <name val="Calibri"/>
        <family val="2"/>
        <scheme val="minor"/>
      </font>
      <numFmt numFmtId="0" formatCode="General"/>
      <alignment horizontal="general" vertical="bottom" textRotation="0" wrapText="1"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numFmt numFmtId="0" formatCode="General"/>
      <alignment horizontal="general" vertical="bottom" textRotation="0" wrapText="1"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left style="thin">
          <color theme="4" tint="0.59996337778862885"/>
        </left>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theme="1"/>
        <name val="Calibri"/>
        <family val="2"/>
        <scheme val="minor"/>
      </font>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numFmt numFmtId="0" formatCode="Genera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left/>
        <right style="thin">
          <color theme="4" tint="0.59996337778862885"/>
        </right>
        <top style="thin">
          <color theme="4" tint="0.59996337778862885"/>
        </top>
        <bottom style="thin">
          <color theme="4" tint="0.59996337778862885"/>
        </bottom>
        <vertical/>
        <horizontal/>
      </border>
    </dxf>
    <dxf>
      <border>
        <top style="thin">
          <color theme="4" tint="0.59996337778862885"/>
        </top>
      </border>
    </dxf>
    <dxf>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dxf>
    <dxf>
      <border>
        <bottom style="thin">
          <color theme="4" tint="0.59996337778862885"/>
        </bottom>
      </border>
    </dxf>
    <dxf>
      <font>
        <b/>
        <i val="0"/>
        <strike val="0"/>
        <condense val="0"/>
        <extend val="0"/>
        <outline val="0"/>
        <shadow val="0"/>
        <u val="none"/>
        <vertAlign val="baseline"/>
        <sz val="9"/>
        <color theme="0"/>
        <name val="Calibri"/>
        <family val="2"/>
        <scheme val="minor"/>
      </font>
      <fill>
        <patternFill patternType="solid">
          <fgColor indexed="64"/>
          <bgColor theme="4"/>
        </patternFill>
      </fill>
      <border diagonalUp="0" diagonalDown="0">
        <left style="thin">
          <color theme="4" tint="0.59996337778862885"/>
        </left>
        <right style="thin">
          <color theme="4" tint="0.59996337778862885"/>
        </right>
        <top/>
        <bottom/>
        <vertical style="thin">
          <color theme="4" tint="0.59996337778862885"/>
        </vertical>
        <horizontal style="thin">
          <color theme="4" tint="0.59996337778862885"/>
        </horizontal>
      </border>
    </dxf>
    <dxf>
      <font>
        <b/>
        <strike val="0"/>
        <outline val="0"/>
        <shadow val="0"/>
        <u val="none"/>
        <vertAlign val="baseline"/>
        <sz val="9"/>
        <color theme="4"/>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border diagonalUp="0" diagonalDown="0">
        <left style="thin">
          <color theme="4" tint="0.59996337778862885"/>
        </left>
        <right/>
        <top style="thin">
          <color theme="4" tint="0.59996337778862885"/>
        </top>
        <bottom/>
        <vertical/>
        <horizontal/>
      </border>
    </dxf>
    <dxf>
      <font>
        <strike val="0"/>
        <outline val="0"/>
        <shadow val="0"/>
        <u val="none"/>
        <vertAlign val="baseline"/>
        <sz val="9"/>
        <name val="Calibri"/>
        <family val="2"/>
        <scheme val="minor"/>
      </font>
      <numFmt numFmtId="0" formatCode="General"/>
      <fill>
        <patternFill patternType="solid">
          <fgColor indexed="64"/>
          <bgColor theme="0"/>
        </patternFill>
      </fill>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right style="thin">
          <color theme="4" tint="0.59996337778862885"/>
        </right>
        <top style="thin">
          <color theme="4" tint="0.59996337778862885"/>
        </top>
        <bottom style="thin">
          <color theme="4" tint="0.59996337778862885"/>
        </bottom>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strike val="0"/>
        <outline val="0"/>
        <shadow val="0"/>
        <u val="none"/>
        <vertAlign val="baseline"/>
        <sz val="9"/>
        <name val="Calibri"/>
        <family val="2"/>
        <scheme val="none"/>
      </font>
      <fill>
        <patternFill patternType="solid">
          <fgColor rgb="FF000000"/>
          <bgColor rgb="FFFFF2CC"/>
        </patternFill>
      </fill>
    </dxf>
    <dxf>
      <border>
        <bottom style="thin">
          <color rgb="FFB4C6E7"/>
        </bottom>
      </border>
    </dxf>
    <dxf>
      <font>
        <b/>
        <strike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i val="0"/>
        <color theme="0"/>
      </font>
      <fill>
        <patternFill>
          <bgColor rgb="FFFF0000"/>
        </patternFill>
      </fill>
    </dxf>
    <dxf>
      <font>
        <strike val="0"/>
        <outline val="0"/>
        <shadow val="0"/>
        <u val="none"/>
        <vertAlign val="baseline"/>
        <sz val="9"/>
        <name val="Calibri"/>
        <family val="2"/>
        <scheme val="minor"/>
      </font>
      <numFmt numFmtId="0" formatCode="General"/>
      <fill>
        <patternFill patternType="none">
          <fgColor indexed="64"/>
          <bgColor auto="1"/>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none">
          <fgColor indexed="64"/>
          <bgColor auto="1"/>
        </patternFill>
      </fill>
      <alignment horizontal="left" vertical="top" textRotation="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sz val="9"/>
        <color auto="1"/>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strike val="0"/>
        <outline val="0"/>
        <shadow val="0"/>
        <u val="none"/>
        <vertAlign val="baseline"/>
        <sz val="9"/>
        <name val="Calibri"/>
        <family val="2"/>
        <scheme val="minor"/>
      </font>
      <alignment horizontal="left" vertical="top" textRotation="0" wrapText="0" indent="0" justifyLastLine="0" shrinkToFit="0" readingOrder="0"/>
      <border outline="0">
        <left style="thin">
          <color theme="4" tint="0.59996337778862885"/>
        </left>
      </border>
    </dxf>
    <dxf>
      <font>
        <strike val="0"/>
        <outline val="0"/>
        <shadow val="0"/>
        <u val="none"/>
        <vertAlign val="baseline"/>
        <sz val="9"/>
        <name val="Calibri"/>
        <family val="2"/>
        <scheme val="minor"/>
      </font>
      <alignment horizontal="left" vertical="top" textRotation="0" wrapText="0" indent="0" justifyLastLine="0" shrinkToFit="0" readingOrder="0"/>
      <border outline="0">
        <right style="thin">
          <color theme="4" tint="0.59996337778862885"/>
        </right>
      </border>
    </dxf>
    <dxf>
      <font>
        <strike val="0"/>
        <outline val="0"/>
        <shadow val="0"/>
        <u val="none"/>
        <vertAlign val="baseline"/>
        <sz val="9"/>
        <name val="Calibri"/>
        <family val="2"/>
        <scheme val="minor"/>
      </font>
      <alignment horizontal="left" vertical="top" textRotation="0" indent="0" justifyLastLine="0" shrinkToFit="0" readingOrder="0"/>
      <border outline="0">
        <right style="thin">
          <color theme="4" tint="0.59996337778862885"/>
        </right>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alignment horizontal="left" vertical="top" textRotation="0" indent="0" justifyLastLine="0" shrinkToFit="0" readingOrder="0"/>
    </dxf>
    <dxf>
      <font>
        <strike val="0"/>
        <outline val="0"/>
        <shadow val="0"/>
        <u val="none"/>
        <vertAlign val="baseline"/>
        <sz val="9"/>
        <name val="Calibri"/>
        <family val="2"/>
        <scheme val="minor"/>
      </font>
      <alignment horizontal="left" vertical="top" textRotation="0" indent="0" justifyLastLine="0" shrinkToFit="0" readingOrder="0"/>
    </dxf>
    <dxf>
      <border outline="0">
        <left style="thin">
          <color rgb="FFB4C6E7"/>
        </left>
      </border>
    </dxf>
    <dxf>
      <font>
        <strike val="0"/>
        <outline val="0"/>
        <shadow val="0"/>
        <u val="none"/>
        <vertAlign val="baseline"/>
        <sz val="9"/>
        <name val="Calibri"/>
        <family val="2"/>
        <scheme val="none"/>
      </font>
      <alignment horizontal="left" vertical="top" textRotation="0" indent="0" justifyLastLine="0" shrinkToFit="0" readingOrder="0"/>
    </dxf>
    <dxf>
      <font>
        <strike val="0"/>
        <outline val="0"/>
        <shadow val="0"/>
        <u val="none"/>
        <vertAlign val="baseline"/>
        <sz val="9"/>
        <name val="Calibri"/>
        <family val="2"/>
        <scheme val="minor"/>
      </font>
    </dxf>
    <dxf>
      <font>
        <strike val="0"/>
        <outline val="0"/>
        <shadow val="0"/>
        <u val="none"/>
        <vertAlign val="baseline"/>
        <sz val="9"/>
        <name val="Calibri"/>
        <family val="2"/>
        <scheme val="minor"/>
      </font>
      <numFmt numFmtId="0" formatCode="General"/>
      <fill>
        <patternFill patternType="none">
          <fgColor indexed="64"/>
          <bgColor auto="1"/>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none">
          <fgColor indexed="64"/>
          <bgColor auto="1"/>
        </patternFill>
      </fill>
      <alignment horizontal="left" vertical="top" textRotation="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border>
    </dxf>
    <dxf>
      <font>
        <sz val="9"/>
        <color auto="1"/>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strike val="0"/>
        <outline val="0"/>
        <shadow val="0"/>
        <u val="none"/>
        <vertAlign val="baseline"/>
        <sz val="9"/>
        <name val="Calibri"/>
        <family val="2"/>
        <scheme val="minor"/>
      </font>
      <alignment horizontal="left" vertical="top" textRotation="0" wrapText="0" indent="0" justifyLastLine="0" shrinkToFit="0" readingOrder="0"/>
      <border outline="0">
        <left style="thin">
          <color theme="4" tint="0.59996337778862885"/>
        </left>
      </border>
    </dxf>
    <dxf>
      <font>
        <strike val="0"/>
        <outline val="0"/>
        <shadow val="0"/>
        <u val="none"/>
        <vertAlign val="baseline"/>
        <sz val="9"/>
        <name val="Calibri"/>
        <family val="2"/>
        <scheme val="minor"/>
      </font>
      <alignment horizontal="left" vertical="top" textRotation="0" wrapText="0" indent="0" justifyLastLine="0" shrinkToFit="0" readingOrder="0"/>
      <border outline="0">
        <right style="thin">
          <color theme="4" tint="0.59996337778862885"/>
        </right>
      </border>
    </dxf>
    <dxf>
      <font>
        <strike val="0"/>
        <outline val="0"/>
        <shadow val="0"/>
        <u val="none"/>
        <vertAlign val="baseline"/>
        <sz val="9"/>
        <name val="Calibri"/>
        <family val="2"/>
        <scheme val="minor"/>
      </font>
      <alignment horizontal="left" vertical="top" textRotation="0" indent="0" justifyLastLine="0" shrinkToFit="0" readingOrder="0"/>
      <border outline="0">
        <right style="thin">
          <color theme="4" tint="0.59996337778862885"/>
        </right>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fill>
        <patternFill patternType="solid">
          <fgColor indexed="64"/>
          <bgColor theme="7" tint="0.79998168889431442"/>
        </patternFill>
      </fill>
      <alignment horizontal="left" vertical="top" textRotation="0" indent="0" justifyLastLine="0" shrinkToFit="0" readingOrder="0"/>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alignment horizontal="left" vertical="top" textRotation="0" indent="0" justifyLastLine="0" shrinkToFit="0" readingOrder="0"/>
    </dxf>
    <dxf>
      <font>
        <strike val="0"/>
        <outline val="0"/>
        <shadow val="0"/>
        <u val="none"/>
        <vertAlign val="baseline"/>
        <sz val="9"/>
        <name val="Calibri"/>
        <family val="2"/>
        <scheme val="minor"/>
      </font>
      <alignment horizontal="left" vertical="top" textRotation="0" indent="0" justifyLastLine="0" shrinkToFit="0" readingOrder="0"/>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7" tint="0.79998168889431442"/>
        </patternFill>
      </fill>
      <alignment horizontal="left" vertical="top" textRotation="0" indent="0" justifyLastLine="0" shrinkToFit="0" readingOrder="0"/>
      <border diagonalUp="0" diagonalDown="0">
        <left/>
        <right style="thin">
          <color theme="4" tint="0.59996337778862885"/>
        </right>
        <top style="thin">
          <color theme="4" tint="0.59996337778862885"/>
        </top>
        <bottom style="thin">
          <color theme="4" tint="0.59996337778862885"/>
        </bottom>
      </border>
    </dxf>
    <dxf>
      <border outline="0">
        <left style="thin">
          <color rgb="FFB4C6E7"/>
        </left>
      </border>
    </dxf>
    <dxf>
      <font>
        <strike val="0"/>
        <outline val="0"/>
        <shadow val="0"/>
        <u val="none"/>
        <vertAlign val="baseline"/>
        <sz val="9"/>
        <name val="Calibri"/>
        <family val="2"/>
        <scheme val="none"/>
      </font>
      <alignment horizontal="left" vertical="top" textRotation="0" indent="0" justifyLastLine="0" shrinkToFit="0" readingOrder="0"/>
    </dxf>
    <dxf>
      <font>
        <strike val="0"/>
        <outline val="0"/>
        <shadow val="0"/>
        <u val="none"/>
        <vertAlign val="baseline"/>
        <sz val="9"/>
        <name val="Calibri"/>
        <family val="2"/>
        <scheme val="minor"/>
      </font>
    </dxf>
    <dxf>
      <font>
        <b/>
        <strike val="0"/>
        <outline val="0"/>
        <shadow val="0"/>
        <u val="none"/>
        <vertAlign val="baseline"/>
        <sz val="9"/>
        <color theme="4"/>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solid">
          <fgColor indexed="64"/>
          <bgColor theme="0"/>
        </patternFill>
      </fill>
      <border diagonalUp="0" diagonalDown="0">
        <left style="thin">
          <color theme="4" tint="0.59996337778862885"/>
        </left>
        <right style="thin">
          <color theme="4" tint="0.59996337778862885"/>
        </right>
        <top style="thin">
          <color theme="4" tint="0.59996337778862885"/>
        </top>
        <bottom style="thin">
          <color theme="4" tint="0.59996337778862885"/>
        </bottom>
        <vertical/>
        <horizontal style="thin">
          <color theme="4" tint="0.59996337778862885"/>
        </horizontal>
      </border>
    </dxf>
    <dxf>
      <font>
        <b val="0"/>
        <i val="0"/>
        <strike val="0"/>
        <condense val="0"/>
        <extend val="0"/>
        <outline val="0"/>
        <shadow val="0"/>
        <u val="none"/>
        <vertAlign val="baseline"/>
        <sz val="9"/>
        <color theme="1"/>
        <name val="Calibri"/>
        <family val="2"/>
        <scheme val="minor"/>
      </font>
      <fill>
        <patternFill patternType="solid">
          <fgColor indexed="64"/>
          <bgColor theme="0"/>
        </patternFill>
      </fill>
      <border diagonalUp="0" diagonalDown="0" outline="0">
        <left style="thin">
          <color theme="4" tint="0.59996337778862885"/>
        </left>
        <right/>
        <top style="thin">
          <color theme="4" tint="0.59996337778862885"/>
        </top>
        <bottom/>
      </border>
    </dxf>
    <dxf>
      <font>
        <strike val="0"/>
        <outline val="0"/>
        <shadow val="0"/>
        <u val="none"/>
        <vertAlign val="baseline"/>
        <sz val="9"/>
        <name val="Calibri"/>
        <family val="2"/>
        <scheme val="minor"/>
      </font>
      <numFmt numFmtId="0" formatCode="General"/>
      <fill>
        <patternFill patternType="solid">
          <fgColor indexed="64"/>
          <bgColor theme="0"/>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0"/>
        </patternFill>
      </fill>
      <border diagonalUp="0" diagonalDown="0">
        <left style="thin">
          <color theme="4" tint="0.59996337778862885"/>
        </left>
        <right style="thin">
          <color theme="4" tint="0.59996337778862885"/>
        </right>
        <top style="thin">
          <color theme="4" tint="0.59996337778862885"/>
        </top>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left/>
        <right style="thin">
          <color theme="4" tint="0.59996337778862885"/>
        </right>
        <top style="thin">
          <color theme="4" tint="0.59996337778862885"/>
        </top>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theme="7" tint="0.79998168889431442"/>
        </patternFill>
      </fill>
      <border diagonalUp="0" diagonalDown="0">
        <left/>
        <right style="thin">
          <color theme="4" tint="0.59996337778862885"/>
        </right>
        <top style="thin">
          <color theme="4" tint="0.59996337778862885"/>
        </top>
        <bottom style="thin">
          <color theme="4" tint="0.59996337778862885"/>
        </bottom>
        <vertical/>
        <horizontal/>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strike val="0"/>
        <outline val="0"/>
        <shadow val="0"/>
        <u val="none"/>
        <vertAlign val="baseline"/>
        <sz val="9"/>
        <name val="Calibri"/>
        <family val="2"/>
        <scheme val="none"/>
      </font>
      <fill>
        <patternFill patternType="solid">
          <fgColor rgb="FF000000"/>
          <bgColor rgb="FFFFF2CC"/>
        </patternFill>
      </fill>
    </dxf>
    <dxf>
      <border>
        <bottom style="thin">
          <color rgb="FFB4C6E7"/>
        </bottom>
      </border>
    </dxf>
    <dxf>
      <font>
        <b/>
        <strike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
      <font>
        <b/>
        <i val="0"/>
        <color theme="0"/>
      </font>
      <fill>
        <patternFill>
          <bgColor rgb="FFFF0000"/>
        </patternFill>
      </fill>
    </dxf>
    <dxf>
      <font>
        <b/>
        <strike val="0"/>
        <outline val="0"/>
        <shadow val="0"/>
        <u val="none"/>
        <vertAlign val="baseline"/>
        <sz val="9"/>
        <color theme="4"/>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outline="0">
        <left style="thin">
          <color theme="4" tint="0.59996337778862885"/>
        </left>
        <right/>
        <top style="thin">
          <color theme="4" tint="0.59996337778862885"/>
        </top>
        <bottom style="thin">
          <color theme="4" tint="0.59996337778862885"/>
        </bottom>
      </border>
    </dxf>
    <dxf>
      <font>
        <strike val="0"/>
        <outline val="0"/>
        <shadow val="0"/>
        <u val="none"/>
        <vertAlign val="baseline"/>
        <sz val="9"/>
        <name val="Calibri"/>
        <family val="2"/>
        <scheme val="minor"/>
      </font>
      <numFmt numFmtId="0" formatCode="General"/>
      <fill>
        <patternFill patternType="solid">
          <fgColor indexed="64"/>
          <bgColor theme="7" tint="0.79998168889431442"/>
        </patternFill>
      </fill>
      <border diagonalUp="0" diagonalDown="0" outline="0">
        <left style="thin">
          <color theme="4" tint="0.59996337778862885"/>
        </left>
        <right style="thin">
          <color theme="4" tint="0.59996337778862885"/>
        </right>
        <top style="thin">
          <color theme="4" tint="0.59996337778862885"/>
        </top>
        <bottom style="thin">
          <color theme="4" tint="0.59996337778862885"/>
        </bottom>
      </border>
    </dxf>
    <dxf>
      <font>
        <strike val="0"/>
        <outline val="0"/>
        <shadow val="0"/>
        <u val="none"/>
        <vertAlign val="baseline"/>
        <sz val="9"/>
        <name val="Calibri"/>
        <family val="2"/>
        <scheme val="minor"/>
      </font>
      <fill>
        <patternFill patternType="solid">
          <fgColor indexed="64"/>
          <bgColor theme="7" tint="0.79998168889431442"/>
        </patternFill>
      </fill>
      <border diagonalUp="0" diagonalDown="0" outline="0">
        <left/>
        <right style="thin">
          <color theme="4" tint="0.59996337778862885"/>
        </right>
        <top style="thin">
          <color theme="4" tint="0.59996337778862885"/>
        </top>
        <bottom style="thin">
          <color theme="4" tint="0.59996337778862885"/>
        </bottom>
      </border>
    </dxf>
    <dxf>
      <border>
        <top style="thin">
          <color rgb="FFB4C6E7"/>
        </top>
      </border>
    </dxf>
    <dxf>
      <border diagonalUp="0" diagonalDown="0">
        <left style="thin">
          <color rgb="FFB4C6E7"/>
        </left>
        <right style="thin">
          <color rgb="FFB4C6E7"/>
        </right>
        <top style="thin">
          <color rgb="FFB4C6E7"/>
        </top>
        <bottom style="thin">
          <color rgb="FFB4C6E7"/>
        </bottom>
      </border>
    </dxf>
    <dxf>
      <font>
        <strike val="0"/>
        <outline val="0"/>
        <shadow val="0"/>
        <u val="none"/>
        <vertAlign val="baseline"/>
        <sz val="9"/>
        <name val="Calibri"/>
        <family val="2"/>
        <scheme val="none"/>
      </font>
      <fill>
        <patternFill patternType="solid">
          <fgColor rgb="FF000000"/>
          <bgColor rgb="FFFFF2CC"/>
        </patternFill>
      </fill>
    </dxf>
    <dxf>
      <border>
        <bottom style="thin">
          <color rgb="FFB4C6E7"/>
        </bottom>
      </border>
    </dxf>
    <dxf>
      <font>
        <b/>
        <strike val="0"/>
        <outline val="0"/>
        <shadow val="0"/>
        <u val="none"/>
        <vertAlign val="baseline"/>
        <sz val="9"/>
        <color theme="0"/>
        <name val="Calibri"/>
        <family val="2"/>
        <scheme val="minor"/>
      </font>
      <fill>
        <patternFill patternType="solid">
          <fgColor indexed="64"/>
          <bgColor theme="4"/>
        </patternFill>
      </fill>
      <border diagonalUp="0" diagonalDown="0" outline="0">
        <left style="thin">
          <color theme="4" tint="0.59996337778862885"/>
        </left>
        <right style="thin">
          <color theme="4" tint="0.59996337778862885"/>
        </right>
        <top/>
        <bottom/>
      </border>
    </dxf>
  </dxfs>
  <tableStyles count="1" defaultTableStyle="TableStyleMedium2" defaultPivotStyle="PivotStyleLight16">
    <tableStyle name="Invisible" pivot="0" table="0" count="0" xr9:uid="{C960A5AE-D8F9-40A7-AB39-8C81DDB383B0}"/>
  </tableStyles>
  <colors>
    <mruColors>
      <color rgb="FFFFCC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7.xml"/><Relationship Id="rId44"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20" Type="http://schemas.openxmlformats.org/officeDocument/2006/relationships/styles" Target="styles.xml"/><Relationship Id="rId41" Type="http://schemas.openxmlformats.org/officeDocument/2006/relationships/customXml" Target="../customXml/item1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358140</xdr:colOff>
      <xdr:row>1</xdr:row>
      <xdr:rowOff>38099</xdr:rowOff>
    </xdr:from>
    <xdr:to>
      <xdr:col>9</xdr:col>
      <xdr:colOff>390525</xdr:colOff>
      <xdr:row>7</xdr:row>
      <xdr:rowOff>60959</xdr:rowOff>
    </xdr:to>
    <xdr:sp macro="" textlink="">
      <xdr:nvSpPr>
        <xdr:cNvPr id="3" name="Shape_Home">
          <a:extLst>
            <a:ext uri="{FF2B5EF4-FFF2-40B4-BE49-F238E27FC236}">
              <a16:creationId xmlns:a16="http://schemas.microsoft.com/office/drawing/2014/main" id="{00000000-0008-0000-0000-000003000000}"/>
            </a:ext>
          </a:extLst>
        </xdr:cNvPr>
        <xdr:cNvSpPr/>
      </xdr:nvSpPr>
      <xdr:spPr>
        <a:xfrm>
          <a:off x="5835015" y="238124"/>
          <a:ext cx="3175635" cy="937260"/>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marL="0" indent="0" algn="l"/>
          <a:endParaRPr lang="en-US" sz="1400" b="1">
            <a:solidFill>
              <a:schemeClr val="tx2"/>
            </a:solidFill>
            <a:latin typeface="+mn-lt"/>
            <a:ea typeface="+mn-ea"/>
            <a:cs typeface="Courier New" panose="02070309020205020404" pitchFamily="49" charset="0"/>
          </a:endParaRPr>
        </a:p>
      </xdr:txBody>
    </xdr:sp>
    <xdr:clientData/>
  </xdr:twoCellAnchor>
  <mc:AlternateContent xmlns:mc="http://schemas.openxmlformats.org/markup-compatibility/2006">
    <mc:Choice xmlns:a14="http://schemas.microsoft.com/office/drawing/2010/main" Requires="a14">
      <xdr:twoCellAnchor>
        <xdr:from>
          <xdr:col>9</xdr:col>
          <xdr:colOff>441960</xdr:colOff>
          <xdr:row>5</xdr:row>
          <xdr:rowOff>22860</xdr:rowOff>
        </xdr:from>
        <xdr:to>
          <xdr:col>10</xdr:col>
          <xdr:colOff>594360</xdr:colOff>
          <xdr:row>6</xdr:row>
          <xdr:rowOff>152400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xdr:twoCellAnchor editAs="absolute">
    <xdr:from>
      <xdr:col>0</xdr:col>
      <xdr:colOff>129540</xdr:colOff>
      <xdr:row>1</xdr:row>
      <xdr:rowOff>57151</xdr:rowOff>
    </xdr:from>
    <xdr:to>
      <xdr:col>1</xdr:col>
      <xdr:colOff>1615440</xdr:colOff>
      <xdr:row>7</xdr:row>
      <xdr:rowOff>38100</xdr:rowOff>
    </xdr:to>
    <mc:AlternateContent xmlns:mc="http://schemas.openxmlformats.org/markup-compatibility/2006" xmlns:sle15="http://schemas.microsoft.com/office/drawing/2012/slicer">
      <mc:Choice Requires="sle15">
        <xdr:graphicFrame macro="">
          <xdr:nvGraphicFramePr>
            <xdr:cNvPr id="5" name="Topic">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33350" y="253366"/>
              <a:ext cx="2657475" cy="899159"/>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9</xdr:col>
          <xdr:colOff>449580</xdr:colOff>
          <xdr:row>1</xdr:row>
          <xdr:rowOff>38100</xdr:rowOff>
        </xdr:from>
        <xdr:to>
          <xdr:col>10</xdr:col>
          <xdr:colOff>579120</xdr:colOff>
          <xdr:row>3</xdr:row>
          <xdr:rowOff>30480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161925</xdr:colOff>
      <xdr:row>8</xdr:row>
      <xdr:rowOff>41908</xdr:rowOff>
    </xdr:from>
    <xdr:to>
      <xdr:col>5</xdr:col>
      <xdr:colOff>314325</xdr:colOff>
      <xdr:row>63</xdr:row>
      <xdr:rowOff>47625</xdr:rowOff>
    </xdr:to>
    <xdr:sp macro="" textlink="">
      <xdr:nvSpPr>
        <xdr:cNvPr id="18" name="Shape_Command">
          <a:extLst>
            <a:ext uri="{FF2B5EF4-FFF2-40B4-BE49-F238E27FC236}">
              <a16:creationId xmlns:a16="http://schemas.microsoft.com/office/drawing/2014/main" id="{00000000-0008-0000-0100-000012000000}"/>
            </a:ext>
          </a:extLst>
        </xdr:cNvPr>
        <xdr:cNvSpPr/>
      </xdr:nvSpPr>
      <xdr:spPr>
        <a:xfrm>
          <a:off x="161925" y="1308733"/>
          <a:ext cx="4057650" cy="8416292"/>
        </a:xfrm>
        <a:prstGeom prst="rect">
          <a:avLst/>
        </a:prstGeom>
        <a:solidFill>
          <a:srgbClr val="FFCC99"/>
        </a:solidFill>
        <a:ln>
          <a:solidFill>
            <a:schemeClr val="accent2">
              <a:shade val="50000"/>
              <a:alpha val="93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t">
          <a:noAutofit/>
        </a:bodyPr>
        <a:lstStyle/>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 Define the parameters</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ResourceGroupName=rg-xxxxxxxxxxxxxxx02</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Location=northeurope</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owner_contact=eddy.moren@suez.com</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financial_contact=eddy.moren@suez.com</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security_contact=ludovic.bideau@suez.com</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billing_code=SV23I67</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environment=dev</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application_name=Test</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created_by=GF5490</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date=%DATE%</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created_with=AzureCLI</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 Define the log file path</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set LogFilePath=C:\Users\GF5490\Azure.log</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az account set --subscription 480c4dad-9dc0-4d1d-9f65-813a4365d5c9</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 Create the resource group with tags and log the output</a:t>
          </a:r>
        </a:p>
        <a:p>
          <a:pPr marL="0" indent="0" algn="l"/>
          <a:endParaRPr lang="en-US" sz="1100" b="1">
            <a:solidFill>
              <a:schemeClr val="tx2"/>
            </a:solidFill>
            <a:latin typeface="+mn-lt"/>
            <a:ea typeface="+mn-ea"/>
            <a:cs typeface="Courier New" panose="02070309020205020404" pitchFamily="49" charset="0"/>
          </a:endParaRPr>
        </a:p>
        <a:p>
          <a:pPr marL="0" indent="0" algn="l"/>
          <a:r>
            <a:rPr lang="en-US" sz="1100" b="1">
              <a:solidFill>
                <a:schemeClr val="tx2"/>
              </a:solidFill>
              <a:latin typeface="+mn-lt"/>
              <a:ea typeface="+mn-ea"/>
              <a:cs typeface="Courier New" panose="02070309020205020404" pitchFamily="49" charset="0"/>
            </a:rPr>
            <a:t>az group create --name %ResourceGroupName% --location %Location% --tags owner_contact="%owner_contact%" financial_contact="%financial_contact%" security_contact="%security_contact%" billing_code="%billing_code%" environment="%environment%" application_name="%application_name%" created_by="%created_by%" date="%date%" created_with="%created_with%" </a:t>
          </a:r>
        </a:p>
      </xdr:txBody>
    </xdr:sp>
    <xdr:clientData/>
  </xdr:twoCellAnchor>
  <mc:AlternateContent xmlns:mc="http://schemas.openxmlformats.org/markup-compatibility/2006">
    <mc:Choice xmlns:a14="http://schemas.microsoft.com/office/drawing/2010/main" Requires="a14">
      <xdr:twoCellAnchor>
        <xdr:from>
          <xdr:col>0</xdr:col>
          <xdr:colOff>99060</xdr:colOff>
          <xdr:row>6</xdr:row>
          <xdr:rowOff>22860</xdr:rowOff>
        </xdr:from>
        <xdr:to>
          <xdr:col>1</xdr:col>
          <xdr:colOff>76200</xdr:colOff>
          <xdr:row>7</xdr:row>
          <xdr:rowOff>83820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6</xdr:row>
          <xdr:rowOff>30480</xdr:rowOff>
        </xdr:from>
        <xdr:to>
          <xdr:col>5</xdr:col>
          <xdr:colOff>213360</xdr:colOff>
          <xdr:row>7</xdr:row>
          <xdr:rowOff>114300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100-000002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4</xdr:row>
          <xdr:rowOff>22860</xdr:rowOff>
        </xdr:from>
        <xdr:to>
          <xdr:col>5</xdr:col>
          <xdr:colOff>198120</xdr:colOff>
          <xdr:row>5</xdr:row>
          <xdr:rowOff>99060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100-000003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Open Log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518160</xdr:colOff>
          <xdr:row>5</xdr:row>
          <xdr:rowOff>144780</xdr:rowOff>
        </xdr:from>
        <xdr:to>
          <xdr:col>2</xdr:col>
          <xdr:colOff>342900</xdr:colOff>
          <xdr:row>7</xdr:row>
          <xdr:rowOff>68580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100-000005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0</xdr:row>
          <xdr:rowOff>190500</xdr:rowOff>
        </xdr:from>
        <xdr:to>
          <xdr:col>5</xdr:col>
          <xdr:colOff>525780</xdr:colOff>
          <xdr:row>3</xdr:row>
          <xdr:rowOff>22860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0100-000006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83820</xdr:colOff>
      <xdr:row>1</xdr:row>
      <xdr:rowOff>40006</xdr:rowOff>
    </xdr:from>
    <xdr:to>
      <xdr:col>7</xdr:col>
      <xdr:colOff>2076450</xdr:colOff>
      <xdr:row>8</xdr:row>
      <xdr:rowOff>59056</xdr:rowOff>
    </xdr:to>
    <xdr:sp macro="" textlink="">
      <xdr:nvSpPr>
        <xdr:cNvPr id="2" name="Shape_ResourceGroup">
          <a:extLst>
            <a:ext uri="{FF2B5EF4-FFF2-40B4-BE49-F238E27FC236}">
              <a16:creationId xmlns:a16="http://schemas.microsoft.com/office/drawing/2014/main" id="{00000000-0008-0000-0200-000002000000}"/>
            </a:ext>
          </a:extLst>
        </xdr:cNvPr>
        <xdr:cNvSpPr/>
      </xdr:nvSpPr>
      <xdr:spPr>
        <a:xfrm>
          <a:off x="83820" y="240031"/>
          <a:ext cx="8402955" cy="1085850"/>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a:solidFill>
                <a:schemeClr val="tx2"/>
              </a:solidFill>
              <a:latin typeface="+mn-lt"/>
              <a:cs typeface="Courier New" panose="02070309020205020404" pitchFamily="49" charset="0"/>
            </a:rPr>
            <a:t>az account set --subscription af9f6198-6bb3-4dcf-aa26-3626cb338b4d</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group create --name rg-rgldw-datahistorian-prod-ne --location northeurope --tags owner_contact="thierry.maldonado@suez.com" financial_contact="thierry.maldonado@suez.com" environment="PRD" billing_code="SVMRE006" security_contact="ludovic.bideau@suez.com" application_name="rgldw" created_by="GF5490" created_with="xOpsCLIG" date="2023-04-07_13:21:02"</a:t>
          </a:r>
        </a:p>
      </xdr:txBody>
    </xdr:sp>
    <xdr:clientData/>
  </xdr:twoCellAnchor>
  <mc:AlternateContent xmlns:mc="http://schemas.openxmlformats.org/markup-compatibility/2006">
    <mc:Choice xmlns:a14="http://schemas.microsoft.com/office/drawing/2010/main" Requires="a14">
      <xdr:twoCellAnchor>
        <xdr:from>
          <xdr:col>7</xdr:col>
          <xdr:colOff>2171700</xdr:colOff>
          <xdr:row>6</xdr:row>
          <xdr:rowOff>60960</xdr:rowOff>
        </xdr:from>
        <xdr:to>
          <xdr:col>8</xdr:col>
          <xdr:colOff>1028700</xdr:colOff>
          <xdr:row>8</xdr:row>
          <xdr:rowOff>22860</xdr:rowOff>
        </xdr:to>
        <xdr:sp macro="" textlink="">
          <xdr:nvSpPr>
            <xdr:cNvPr id="28673" name="Button_ResourceGroup"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1127760</xdr:colOff>
          <xdr:row>6</xdr:row>
          <xdr:rowOff>45720</xdr:rowOff>
        </xdr:from>
        <xdr:to>
          <xdr:col>9</xdr:col>
          <xdr:colOff>327660</xdr:colOff>
          <xdr:row>8</xdr:row>
          <xdr:rowOff>22860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200-000005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241934</xdr:colOff>
      <xdr:row>1</xdr:row>
      <xdr:rowOff>116204</xdr:rowOff>
    </xdr:from>
    <xdr:to>
      <xdr:col>25</xdr:col>
      <xdr:colOff>462915</xdr:colOff>
      <xdr:row>34</xdr:row>
      <xdr:rowOff>125730</xdr:rowOff>
    </xdr:to>
    <xdr:sp macro="" textlink="">
      <xdr:nvSpPr>
        <xdr:cNvPr id="4" name="Shape_AppGatewaySuez">
          <a:extLst>
            <a:ext uri="{FF2B5EF4-FFF2-40B4-BE49-F238E27FC236}">
              <a16:creationId xmlns:a16="http://schemas.microsoft.com/office/drawing/2014/main" id="{00000000-0008-0000-0300-000004000000}"/>
            </a:ext>
          </a:extLst>
        </xdr:cNvPr>
        <xdr:cNvSpPr/>
      </xdr:nvSpPr>
      <xdr:spPr>
        <a:xfrm>
          <a:off x="10843259" y="268604"/>
          <a:ext cx="6316981" cy="5191126"/>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a:solidFill>
                <a:schemeClr val="tx2"/>
              </a:solidFill>
              <a:latin typeface="+mn-lt"/>
              <a:cs typeface="Courier New" panose="02070309020205020404" pitchFamily="49" charset="0"/>
            </a:rPr>
            <a:t>az account set --subscription af9f6198-6bb3-4dcf-aa26-3626cb338b4d</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http-settings create --resource-group rg-infra-network-northeurope --gateway-name agw-suez-prod-ne --name aqwn-sef-preprod-backend_settings --port 80 --timeout 120</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http-listener create --resource-group rg-infra-network-northeurope --gateway-name agw-suez-prod-ne --frontend-port port_80 --name aqwn-sef-preprod-http_listener --frontend-ip appGwPrivateFrontendIpIPv4 --host-name aqwn-sef-preprod.app.3s-sw.green.intra</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http-listener create --name aqwn-sef-preprod-https_listener --resource-group rg-infra-network-northeurope --gateway-name agw-suez-prod-ne --frontend-ip appGwPrivateFrontendIpIPv4 --frontend-port port_443 --ssl-cert app.3s-sw.green.intra --host-name aqwn-sef-preprod.app.3s-sw.green.intra</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rule create --resource-group rg-infra-network-northeurope --gateway-name agw-suez-prod-ne --name aqwn-sef-preprod-https_routing_rule --http-listener aqwn-sef-preprod-https_listener --rule-type Basic --address-pool aqwn-sef-preprod-backend --http-settings aqwn-sef-preprod-backend_settings --priority 100</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redirect-config create --resource-group rg-infra-network-northeurope --gateway-name agw-suez-prod-ne --name aqwn-sef-preprod-redirect --type Permanent --include-path true --include-query-string true --target-listener aqwn-sef-preprod-https_listener</a:t>
          </a:r>
        </a:p>
        <a:p>
          <a:pPr algn="l"/>
          <a:endParaRPr lang="en-US" sz="1100" b="1">
            <a:solidFill>
              <a:schemeClr val="tx2"/>
            </a:solidFill>
            <a:latin typeface="+mn-lt"/>
            <a:cs typeface="Courier New" panose="02070309020205020404" pitchFamily="49" charset="0"/>
          </a:endParaRPr>
        </a:p>
        <a:p>
          <a:pPr algn="l"/>
          <a:r>
            <a:rPr lang="en-US" sz="1100" b="1">
              <a:solidFill>
                <a:schemeClr val="tx2"/>
              </a:solidFill>
              <a:latin typeface="+mn-lt"/>
              <a:cs typeface="Courier New" panose="02070309020205020404" pitchFamily="49" charset="0"/>
            </a:rPr>
            <a:t>az network application-gateway rule create --resource-group rg-infra-network-northeurope --gateway-name agw-suez-prod-ne --name aqwn-sef-preprod-http_redirect_routing_rule --http-listener aqwn-sef-preprod-http_listener --rule-type Basic --redirect-config aqwn-sef-preprod-redirect --priority 101</a:t>
          </a:r>
        </a:p>
        <a:p>
          <a:pPr algn="l"/>
          <a:endParaRPr lang="en-US" sz="1100" b="1">
            <a:solidFill>
              <a:schemeClr val="tx2"/>
            </a:solidFill>
            <a:latin typeface="+mn-lt"/>
            <a:cs typeface="Courier New" panose="02070309020205020404" pitchFamily="49" charset="0"/>
          </a:endParaRPr>
        </a:p>
        <a:p>
          <a:pPr algn="l"/>
          <a:endParaRPr lang="en-US" sz="1100" b="1">
            <a:solidFill>
              <a:schemeClr val="tx2"/>
            </a:solidFill>
            <a:latin typeface="+mn-lt"/>
            <a:cs typeface="Courier New" panose="02070309020205020404" pitchFamily="49" charset="0"/>
          </a:endParaRPr>
        </a:p>
      </xdr:txBody>
    </xdr:sp>
    <xdr:clientData/>
  </xdr:twoCellAnchor>
  <mc:AlternateContent xmlns:mc="http://schemas.openxmlformats.org/markup-compatibility/2006">
    <mc:Choice xmlns:a14="http://schemas.microsoft.com/office/drawing/2010/main" Requires="a14">
      <xdr:twoCellAnchor>
        <xdr:from>
          <xdr:col>12</xdr:col>
          <xdr:colOff>76200</xdr:colOff>
          <xdr:row>25</xdr:row>
          <xdr:rowOff>76200</xdr:rowOff>
        </xdr:from>
        <xdr:to>
          <xdr:col>15</xdr:col>
          <xdr:colOff>60960</xdr:colOff>
          <xdr:row>25</xdr:row>
          <xdr:rowOff>609600</xdr:rowOff>
        </xdr:to>
        <xdr:sp macro="" textlink="">
          <xdr:nvSpPr>
            <xdr:cNvPr id="53249" name="Button_ResourceGroup" hidden="1">
              <a:extLst>
                <a:ext uri="{63B3BB69-23CF-44E3-9099-C40C66FF867C}">
                  <a14:compatExt spid="_x0000_s53249"/>
                </a:ext>
                <a:ext uri="{FF2B5EF4-FFF2-40B4-BE49-F238E27FC236}">
                  <a16:creationId xmlns:a16="http://schemas.microsoft.com/office/drawing/2014/main" id="{00000000-0008-0000-03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19</xdr:row>
          <xdr:rowOff>45720</xdr:rowOff>
        </xdr:from>
        <xdr:to>
          <xdr:col>15</xdr:col>
          <xdr:colOff>30480</xdr:colOff>
          <xdr:row>21</xdr:row>
          <xdr:rowOff>45720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300-000002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26</xdr:row>
          <xdr:rowOff>60960</xdr:rowOff>
        </xdr:from>
        <xdr:to>
          <xdr:col>15</xdr:col>
          <xdr:colOff>76200</xdr:colOff>
          <xdr:row>28</xdr:row>
          <xdr:rowOff>30480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3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245744</xdr:colOff>
      <xdr:row>1</xdr:row>
      <xdr:rowOff>116204</xdr:rowOff>
    </xdr:from>
    <xdr:to>
      <xdr:col>25</xdr:col>
      <xdr:colOff>464820</xdr:colOff>
      <xdr:row>40</xdr:row>
      <xdr:rowOff>76200</xdr:rowOff>
    </xdr:to>
    <xdr:sp macro="" textlink="">
      <xdr:nvSpPr>
        <xdr:cNvPr id="2" name="Shape_AppGatewayIS">
          <a:extLst>
            <a:ext uri="{FF2B5EF4-FFF2-40B4-BE49-F238E27FC236}">
              <a16:creationId xmlns:a16="http://schemas.microsoft.com/office/drawing/2014/main" id="{00000000-0008-0000-0400-000002000000}"/>
            </a:ext>
          </a:extLst>
        </xdr:cNvPr>
        <xdr:cNvSpPr/>
      </xdr:nvSpPr>
      <xdr:spPr>
        <a:xfrm>
          <a:off x="10847069" y="268604"/>
          <a:ext cx="6315076" cy="5903596"/>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a:solidFill>
              <a:schemeClr val="tx2"/>
            </a:solidFill>
            <a:latin typeface="+mn-lt"/>
            <a:cs typeface="Courier New" panose="02070309020205020404" pitchFamily="49" charset="0"/>
          </a:endParaRPr>
        </a:p>
      </xdr:txBody>
    </xdr:sp>
    <xdr:clientData/>
  </xdr:twoCellAnchor>
  <mc:AlternateContent xmlns:mc="http://schemas.openxmlformats.org/markup-compatibility/2006">
    <mc:Choice xmlns:a14="http://schemas.microsoft.com/office/drawing/2010/main" Requires="a14">
      <xdr:twoCellAnchor>
        <xdr:from>
          <xdr:col>11</xdr:col>
          <xdr:colOff>76200</xdr:colOff>
          <xdr:row>24</xdr:row>
          <xdr:rowOff>83820</xdr:rowOff>
        </xdr:from>
        <xdr:to>
          <xdr:col>14</xdr:col>
          <xdr:colOff>60960</xdr:colOff>
          <xdr:row>26</xdr:row>
          <xdr:rowOff>0</xdr:rowOff>
        </xdr:to>
        <xdr:sp macro="" textlink="">
          <xdr:nvSpPr>
            <xdr:cNvPr id="67585" name="Button_ResourceGroup"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19</xdr:row>
          <xdr:rowOff>45720</xdr:rowOff>
        </xdr:from>
        <xdr:to>
          <xdr:col>15</xdr:col>
          <xdr:colOff>30480</xdr:colOff>
          <xdr:row>21</xdr:row>
          <xdr:rowOff>45720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26</xdr:row>
          <xdr:rowOff>60960</xdr:rowOff>
        </xdr:from>
        <xdr:to>
          <xdr:col>15</xdr:col>
          <xdr:colOff>76200</xdr:colOff>
          <xdr:row>28</xdr:row>
          <xdr:rowOff>30480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400-000003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230504</xdr:colOff>
      <xdr:row>1</xdr:row>
      <xdr:rowOff>26669</xdr:rowOff>
    </xdr:from>
    <xdr:to>
      <xdr:col>17</xdr:col>
      <xdr:colOff>139065</xdr:colOff>
      <xdr:row>43</xdr:row>
      <xdr:rowOff>47625</xdr:rowOff>
    </xdr:to>
    <xdr:sp macro="" textlink="">
      <xdr:nvSpPr>
        <xdr:cNvPr id="2" name="Shape_AppGatewayIS2">
          <a:extLst>
            <a:ext uri="{FF2B5EF4-FFF2-40B4-BE49-F238E27FC236}">
              <a16:creationId xmlns:a16="http://schemas.microsoft.com/office/drawing/2014/main" id="{00000000-0008-0000-0500-000002000000}"/>
            </a:ext>
          </a:extLst>
        </xdr:cNvPr>
        <xdr:cNvSpPr/>
      </xdr:nvSpPr>
      <xdr:spPr>
        <a:xfrm>
          <a:off x="9450704" y="179069"/>
          <a:ext cx="6309361" cy="6269356"/>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a:solidFill>
              <a:schemeClr val="tx2"/>
            </a:solidFill>
            <a:latin typeface="+mn-lt"/>
            <a:cs typeface="Courier New" panose="02070309020205020404" pitchFamily="49" charset="0"/>
          </a:endParaRPr>
        </a:p>
        <a:p>
          <a:pPr algn="l"/>
          <a:endParaRPr lang="en-US" sz="1100" b="1">
            <a:solidFill>
              <a:schemeClr val="tx2"/>
            </a:solidFill>
            <a:latin typeface="+mn-lt"/>
            <a:cs typeface="Courier New" panose="02070309020205020404" pitchFamily="49" charset="0"/>
          </a:endParaRPr>
        </a:p>
      </xdr:txBody>
    </xdr:sp>
    <xdr:clientData/>
  </xdr:twoCellAnchor>
  <mc:AlternateContent xmlns:mc="http://schemas.openxmlformats.org/markup-compatibility/2006">
    <mc:Choice xmlns:a14="http://schemas.microsoft.com/office/drawing/2010/main" Requires="a14">
      <xdr:twoCellAnchor>
        <xdr:from>
          <xdr:col>6</xdr:col>
          <xdr:colOff>426720</xdr:colOff>
          <xdr:row>1</xdr:row>
          <xdr:rowOff>30480</xdr:rowOff>
        </xdr:from>
        <xdr:to>
          <xdr:col>7</xdr:col>
          <xdr:colOff>60960</xdr:colOff>
          <xdr:row>2</xdr:row>
          <xdr:rowOff>99060</xdr:rowOff>
        </xdr:to>
        <xdr:sp macro="" textlink="">
          <xdr:nvSpPr>
            <xdr:cNvPr id="78849" name="Button_ResourceGroup" hidden="1">
              <a:extLst>
                <a:ext uri="{63B3BB69-23CF-44E3-9099-C40C66FF867C}">
                  <a14:compatExt spid="_x0000_s78849"/>
                </a:ext>
                <a:ext uri="{FF2B5EF4-FFF2-40B4-BE49-F238E27FC236}">
                  <a16:creationId xmlns:a16="http://schemas.microsoft.com/office/drawing/2014/main" id="{00000000-0008-0000-05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441960</xdr:colOff>
          <xdr:row>3</xdr:row>
          <xdr:rowOff>22860</xdr:rowOff>
        </xdr:from>
        <xdr:to>
          <xdr:col>7</xdr:col>
          <xdr:colOff>60960</xdr:colOff>
          <xdr:row>4</xdr:row>
          <xdr:rowOff>137160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5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Az Execute</a:t>
              </a:r>
            </a:p>
          </xdr:txBody>
        </xdr:sp>
        <xdr:clientData fPrintsWithSheet="0"/>
      </xdr:twoCellAnchor>
    </mc:Choice>
    <mc:Fallback/>
  </mc:AlternateContent>
  <xdr:twoCellAnchor>
    <xdr:from>
      <xdr:col>2</xdr:col>
      <xdr:colOff>205739</xdr:colOff>
      <xdr:row>2</xdr:row>
      <xdr:rowOff>15241</xdr:rowOff>
    </xdr:from>
    <xdr:to>
      <xdr:col>5</xdr:col>
      <xdr:colOff>1304924</xdr:colOff>
      <xdr:row>14</xdr:row>
      <xdr:rowOff>1</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2853689" y="320041"/>
          <a:ext cx="5042535" cy="1813560"/>
        </a:xfrm>
        <a:prstGeom prst="rect">
          <a:avLst/>
        </a:pr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Notes</a:t>
          </a:r>
          <a:br>
            <a:rPr lang="fr-FR" sz="1100"/>
          </a:br>
          <a:r>
            <a:rPr lang="fr-FR" sz="1100"/>
            <a:t>* For</a:t>
          </a:r>
          <a:r>
            <a:rPr lang="fr-FR" sz="1100" baseline="0"/>
            <a:t> flow, check in Azure the next available Priority.</a:t>
          </a:r>
          <a:br>
            <a:rPr lang="fr-FR" sz="1100" baseline="0"/>
          </a:br>
          <a:r>
            <a:rPr lang="fr-FR" sz="1100" baseline="0"/>
            <a:t>      - Https priority will be the defined number</a:t>
          </a:r>
          <a:br>
            <a:rPr lang="fr-FR" sz="1100" baseline="0"/>
          </a:br>
          <a:r>
            <a:rPr lang="fr-FR" sz="1100" baseline="0"/>
            <a:t>      - Http (redirect) priority will be the  defined number + 1</a:t>
          </a:r>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358139</xdr:colOff>
      <xdr:row>1</xdr:row>
      <xdr:rowOff>38100</xdr:rowOff>
    </xdr:from>
    <xdr:to>
      <xdr:col>11</xdr:col>
      <xdr:colOff>619124</xdr:colOff>
      <xdr:row>16</xdr:row>
      <xdr:rowOff>38100</xdr:rowOff>
    </xdr:to>
    <xdr:sp macro="" textlink="">
      <xdr:nvSpPr>
        <xdr:cNvPr id="2" name="Shape_Subscription">
          <a:extLst>
            <a:ext uri="{FF2B5EF4-FFF2-40B4-BE49-F238E27FC236}">
              <a16:creationId xmlns:a16="http://schemas.microsoft.com/office/drawing/2014/main" id="{00000000-0008-0000-0700-000002000000}"/>
            </a:ext>
          </a:extLst>
        </xdr:cNvPr>
        <xdr:cNvSpPr/>
      </xdr:nvSpPr>
      <xdr:spPr>
        <a:xfrm>
          <a:off x="6054089" y="238125"/>
          <a:ext cx="4032885" cy="2286000"/>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marL="0" indent="0" algn="l"/>
          <a:r>
            <a:rPr lang="en-US" sz="1400" b="1">
              <a:solidFill>
                <a:schemeClr val="tx2"/>
              </a:solidFill>
              <a:latin typeface="+mn-lt"/>
              <a:ea typeface="+mn-ea"/>
              <a:cs typeface="Courier New" panose="02070309020205020404" pitchFamily="49" charset="0"/>
            </a:rPr>
            <a:t>az account set --subscription 480c4dad-9dc0-4d1d-9f65-813a4365d5c9</a:t>
          </a:r>
        </a:p>
      </xdr:txBody>
    </xdr:sp>
    <xdr:clientData/>
  </xdr:twoCellAnchor>
  <mc:AlternateContent xmlns:mc="http://schemas.openxmlformats.org/markup-compatibility/2006">
    <mc:Choice xmlns:a14="http://schemas.microsoft.com/office/drawing/2010/main" Requires="a14">
      <xdr:twoCellAnchor>
        <xdr:from>
          <xdr:col>5</xdr:col>
          <xdr:colOff>381000</xdr:colOff>
          <xdr:row>16</xdr:row>
          <xdr:rowOff>83820</xdr:rowOff>
        </xdr:from>
        <xdr:to>
          <xdr:col>6</xdr:col>
          <xdr:colOff>533400</xdr:colOff>
          <xdr:row>18</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304800</xdr:colOff>
      <xdr:row>1</xdr:row>
      <xdr:rowOff>95250</xdr:rowOff>
    </xdr:from>
    <xdr:to>
      <xdr:col>19</xdr:col>
      <xdr:colOff>19050</xdr:colOff>
      <xdr:row>17</xdr:row>
      <xdr:rowOff>95250</xdr:rowOff>
    </xdr:to>
    <xdr:sp macro="" textlink="">
      <xdr:nvSpPr>
        <xdr:cNvPr id="5" name="Shape_VNet">
          <a:extLst>
            <a:ext uri="{FF2B5EF4-FFF2-40B4-BE49-F238E27FC236}">
              <a16:creationId xmlns:a16="http://schemas.microsoft.com/office/drawing/2014/main" id="{00000000-0008-0000-0800-000005000000}"/>
            </a:ext>
          </a:extLst>
        </xdr:cNvPr>
        <xdr:cNvSpPr/>
      </xdr:nvSpPr>
      <xdr:spPr>
        <a:xfrm>
          <a:off x="7858125" y="295275"/>
          <a:ext cx="4591050" cy="2438400"/>
        </a:xfrm>
        <a:prstGeom prst="rect">
          <a:avLst/>
        </a:prstGeom>
        <a:solidFill>
          <a:srgbClr val="FFCC99"/>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400" b="1">
            <a:solidFill>
              <a:schemeClr val="tx2"/>
            </a:solidFill>
            <a:latin typeface="+mn-lt"/>
            <a:cs typeface="Courier New" panose="02070309020205020404" pitchFamily="49" charset="0"/>
          </a:endParaRPr>
        </a:p>
      </xdr:txBody>
    </xdr:sp>
    <xdr:clientData/>
  </xdr:twoCellAnchor>
  <mc:AlternateContent xmlns:mc="http://schemas.openxmlformats.org/markup-compatibility/2006">
    <mc:Choice xmlns:a14="http://schemas.microsoft.com/office/drawing/2010/main" Requires="a14">
      <xdr:twoCellAnchor>
        <xdr:from>
          <xdr:col>11</xdr:col>
          <xdr:colOff>327660</xdr:colOff>
          <xdr:row>18</xdr:row>
          <xdr:rowOff>0</xdr:rowOff>
        </xdr:from>
        <xdr:to>
          <xdr:col>12</xdr:col>
          <xdr:colOff>480060</xdr:colOff>
          <xdr:row>19</xdr:row>
          <xdr:rowOff>137160</xdr:rowOff>
        </xdr:to>
        <xdr:sp macro="" textlink="">
          <xdr:nvSpPr>
            <xdr:cNvPr id="2049" name="Button_ResourceGroup"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800000"/>
                  </a:solidFill>
                  <a:latin typeface="Calibri"/>
                  <a:cs typeface="Calibri"/>
                </a:rPr>
                <a:t>Copy Script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200025</xdr:colOff>
      <xdr:row>17</xdr:row>
      <xdr:rowOff>83818</xdr:rowOff>
    </xdr:from>
    <xdr:to>
      <xdr:col>20</xdr:col>
      <xdr:colOff>504826</xdr:colOff>
      <xdr:row>33</xdr:row>
      <xdr:rowOff>17144</xdr:rowOff>
    </xdr:to>
    <xdr:sp macro="" textlink="">
      <xdr:nvSpPr>
        <xdr:cNvPr id="2" name="Text Box 2">
          <a:extLst>
            <a:ext uri="{FF2B5EF4-FFF2-40B4-BE49-F238E27FC236}">
              <a16:creationId xmlns:a16="http://schemas.microsoft.com/office/drawing/2014/main" id="{00000000-0008-0000-0900-000002000000}"/>
            </a:ext>
          </a:extLst>
        </xdr:cNvPr>
        <xdr:cNvSpPr txBox="1">
          <a:spLocks noChangeArrowheads="1"/>
        </xdr:cNvSpPr>
      </xdr:nvSpPr>
      <xdr:spPr bwMode="auto">
        <a:xfrm>
          <a:off x="200025" y="3160393"/>
          <a:ext cx="12496801" cy="2828926"/>
        </a:xfrm>
        <a:prstGeom prst="rect">
          <a:avLst/>
        </a:prstGeom>
        <a:solidFill>
          <a:schemeClr val="accent4">
            <a:lumMod val="20000"/>
            <a:lumOff val="80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mn-lt"/>
              <a:cs typeface="Calibri"/>
            </a:rPr>
            <a:t>az costmanagement export create   </a:t>
          </a:r>
          <a:r>
            <a:rPr lang="en-US" sz="1000" b="1" i="0" u="none" strike="noStrike" baseline="0">
              <a:solidFill>
                <a:srgbClr val="000000"/>
              </a:solidFill>
              <a:latin typeface="+mn-lt"/>
              <a:cs typeface="Calibri"/>
            </a:rPr>
            <a:t>--name </a:t>
          </a:r>
          <a:r>
            <a:rPr lang="en-US" sz="1000" b="0" i="0" u="none" strike="noStrike" baseline="0">
              <a:solidFill>
                <a:srgbClr val="000000"/>
              </a:solidFill>
              <a:latin typeface="+mn-lt"/>
              <a:cs typeface="Calibri"/>
            </a:rPr>
            <a:t>"testExport1"  </a:t>
          </a:r>
          <a:r>
            <a:rPr lang="en-US" sz="1000" b="1" i="0" baseline="0">
              <a:effectLst/>
              <a:latin typeface="+mn-lt"/>
              <a:ea typeface="+mn-ea"/>
              <a:cs typeface="+mn-cs"/>
            </a:rPr>
            <a:t>--storage-container </a:t>
          </a:r>
          <a:r>
            <a:rPr lang="en-US" sz="1000" b="0" i="0" baseline="0">
              <a:effectLst/>
              <a:latin typeface="+mn-lt"/>
              <a:ea typeface="+mn-ea"/>
              <a:cs typeface="+mn-cs"/>
            </a:rPr>
            <a:t>costcontainer --timeframe "MonthToDate" --scope "subscriptions/480c4dad-9dc0-4d1d-9f65-813a4365d5c9" </a:t>
          </a:r>
        </a:p>
        <a:p>
          <a:pPr algn="l" rtl="0">
            <a:defRPr sz="1000"/>
          </a:pPr>
          <a:r>
            <a:rPr lang="en-US" sz="1000" b="0" i="0" baseline="0">
              <a:effectLst/>
              <a:latin typeface="+mn-lt"/>
              <a:ea typeface="+mn-ea"/>
              <a:cs typeface="+mn-cs"/>
            </a:rPr>
            <a:t>--storage-account-id</a:t>
          </a:r>
          <a:r>
            <a:rPr lang="en-US" sz="1000" b="1" i="0" u="none" strike="noStrike" baseline="0">
              <a:solidFill>
                <a:srgbClr val="000000"/>
              </a:solidFill>
              <a:effectLst/>
              <a:latin typeface="+mn-lt"/>
              <a:ea typeface="+mn-ea"/>
              <a:cs typeface="Calibri"/>
            </a:rPr>
            <a:t> </a:t>
          </a:r>
          <a:r>
            <a:rPr lang="en-US" sz="1000" b="0" i="0" u="none" strike="noStrike" baseline="0">
              <a:solidFill>
                <a:srgbClr val="000000"/>
              </a:solidFill>
              <a:latin typeface="+mn-lt"/>
              <a:cs typeface="Calibri"/>
            </a:rPr>
            <a:t>/subscriptions/480c4dad-9dc0-4d1d-9f65-813a4365d5c9/resourceGroups/rg-tests-eddy-dev-ne-01/providers/Microsoft.Storage/storageAccounts/steddycostexport</a:t>
          </a:r>
        </a:p>
        <a:p>
          <a:pPr algn="l" rtl="0">
            <a:defRPr sz="1000"/>
          </a:pPr>
          <a:endParaRPr lang="en-US" sz="1100" b="0" i="0" u="none" strike="noStrike" baseline="0">
            <a:solidFill>
              <a:srgbClr val="000000"/>
            </a:solidFill>
            <a:latin typeface="+mn-lt"/>
            <a:cs typeface="Calibri"/>
          </a:endParaRPr>
        </a:p>
        <a:p>
          <a:pPr algn="l" rtl="0">
            <a:defRPr sz="1000"/>
          </a:pPr>
          <a:endParaRPr lang="en-US" sz="1100" b="0" i="0" u="none" strike="noStrike" baseline="0">
            <a:solidFill>
              <a:schemeClr val="accent2"/>
            </a:solidFill>
            <a:latin typeface="+mn-lt"/>
            <a:cs typeface="Calibri"/>
          </a:endParaRPr>
        </a:p>
        <a:p>
          <a:pPr algn="l" rtl="0">
            <a:defRPr sz="1000"/>
          </a:pPr>
          <a:r>
            <a:rPr lang="en-US" sz="1100" b="0" i="0" u="none" strike="noStrike" baseline="0">
              <a:solidFill>
                <a:schemeClr val="accent2"/>
              </a:solidFill>
              <a:latin typeface="+mn-lt"/>
              <a:cs typeface="Calibri"/>
            </a:rPr>
            <a:t>az costmanagement export create --name "TestExport" </a:t>
          </a:r>
          <a:r>
            <a:rPr lang="en-US" sz="1100" b="0" i="0" u="none" strike="noStrike" baseline="0">
              <a:solidFill>
                <a:srgbClr val="000000"/>
              </a:solidFill>
              <a:latin typeface="+mn-lt"/>
              <a:cs typeface="Calibri"/>
            </a:rPr>
            <a:t>--type "Usage" --dataset-configuration columns="Date" columns="MeterId" columns="InstanceId" columns="ResourceLocation" columns="PreTaxCost" </a:t>
          </a:r>
          <a:r>
            <a:rPr lang="en-US" sz="1100" b="0" i="0" u="none" strike="noStrike" baseline="0">
              <a:solidFill>
                <a:schemeClr val="accent2"/>
              </a:solidFill>
              <a:latin typeface="+mn-lt"/>
              <a:cs typeface="Calibri"/>
            </a:rPr>
            <a:t>--timeframe "MonthToDate"</a:t>
          </a:r>
          <a:r>
            <a:rPr lang="en-US" sz="1100" b="0" i="0" u="none" strike="noStrike" baseline="0">
              <a:solidFill>
                <a:srgbClr val="000000"/>
              </a:solidFill>
              <a:latin typeface="+mn-lt"/>
              <a:cs typeface="Calibri"/>
            </a:rPr>
            <a:t> --storage-container="exports" </a:t>
          </a:r>
          <a:r>
            <a:rPr lang="en-US" sz="1100" b="0" i="0" u="none" strike="noStrike" baseline="0">
              <a:solidFill>
                <a:schemeClr val="accent2"/>
              </a:solidFill>
              <a:latin typeface="+mn-lt"/>
              <a:cs typeface="Calibri"/>
            </a:rPr>
            <a:t>--storage-account-id="/subscriptions/00000000-0000-0000-0000-000000000000/resourceGroups/MYDEVTESTRG/providers/Microsoft.Storage/storageAccounts/ccmeastusdiag182"</a:t>
          </a:r>
          <a:r>
            <a:rPr lang="en-US" sz="1100" b="0" i="0" u="none" strike="noStrike" baseline="0">
              <a:solidFill>
                <a:srgbClr val="000000"/>
              </a:solidFill>
              <a:latin typeface="+mn-lt"/>
              <a:cs typeface="Calibri"/>
            </a:rPr>
            <a:t> --storage-directory="ad-hoc" --recurrence "Weekly" --recurrence-period from="2018-06-01T00:00:00Z" to="2018-10-31T00:00:00Z" --schedule-status "Active" </a:t>
          </a:r>
          <a:r>
            <a:rPr lang="en-US" sz="1100" b="0" i="0" u="none" strike="noStrike" baseline="0">
              <a:solidFill>
                <a:schemeClr val="accent2"/>
              </a:solidFill>
              <a:latin typeface="+mn-lt"/>
              <a:cs typeface="Calibri"/>
            </a:rPr>
            <a:t>--scope "subscriptions/00000000-0000-0000-0000-000000000000"</a:t>
          </a:r>
        </a:p>
        <a:p>
          <a:pPr algn="l" rtl="0">
            <a:defRPr sz="1000"/>
          </a:pPr>
          <a:endParaRPr lang="en-US" sz="1100" b="0" i="0" u="none" strike="noStrike" baseline="0">
            <a:solidFill>
              <a:srgbClr val="000000"/>
            </a:solidFill>
            <a:latin typeface="+mn-lt"/>
            <a:cs typeface="Calibri"/>
          </a:endParaRPr>
        </a:p>
      </xdr:txBody>
    </xdr:sp>
    <xdr:clientData/>
  </xdr:twoCellAnchor>
  <xdr:twoCellAnchor>
    <xdr:from>
      <xdr:col>9</xdr:col>
      <xdr:colOff>144782</xdr:colOff>
      <xdr:row>7</xdr:row>
      <xdr:rowOff>0</xdr:rowOff>
    </xdr:from>
    <xdr:to>
      <xdr:col>16</xdr:col>
      <xdr:colOff>521972</xdr:colOff>
      <xdr:row>17</xdr:row>
      <xdr:rowOff>17145</xdr:rowOff>
    </xdr:to>
    <xdr:sp macro="" textlink="">
      <xdr:nvSpPr>
        <xdr:cNvPr id="3" name="Text Box 2">
          <a:extLst>
            <a:ext uri="{FF2B5EF4-FFF2-40B4-BE49-F238E27FC236}">
              <a16:creationId xmlns:a16="http://schemas.microsoft.com/office/drawing/2014/main" id="{00000000-0008-0000-0900-000003000000}"/>
            </a:ext>
          </a:extLst>
        </xdr:cNvPr>
        <xdr:cNvSpPr txBox="1">
          <a:spLocks noChangeArrowheads="1"/>
        </xdr:cNvSpPr>
      </xdr:nvSpPr>
      <xdr:spPr bwMode="auto">
        <a:xfrm>
          <a:off x="5631182" y="1266825"/>
          <a:ext cx="4644390" cy="1826895"/>
        </a:xfrm>
        <a:prstGeom prst="rect">
          <a:avLst/>
        </a:prstGeom>
        <a:solidFill>
          <a:schemeClr val="accent4">
            <a:lumMod val="20000"/>
            <a:lumOff val="80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US" sz="1100" b="0" i="0" u="none" strike="noStrike" baseline="0">
              <a:solidFill>
                <a:srgbClr val="000000"/>
              </a:solidFill>
              <a:latin typeface="Calibri"/>
              <a:cs typeface="Calibri"/>
            </a:rPr>
            <a:t>az billing account management export create \</a:t>
          </a:r>
        </a:p>
        <a:p>
          <a:pPr algn="l" rtl="0">
            <a:defRPr sz="1000"/>
          </a:pPr>
          <a:r>
            <a:rPr lang="en-US" sz="1100" b="0" i="0" u="none" strike="noStrike" baseline="0">
              <a:solidFill>
                <a:srgbClr val="000000"/>
              </a:solidFill>
              <a:latin typeface="Calibri"/>
              <a:cs typeface="Calibri"/>
            </a:rPr>
            <a:t>  --name "MyCostExport" \</a:t>
          </a:r>
        </a:p>
        <a:p>
          <a:pPr algn="l" rtl="0">
            <a:defRPr sz="1000"/>
          </a:pPr>
          <a:r>
            <a:rPr lang="en-US" sz="1100" b="0" i="0" u="none" strike="noStrike" baseline="0">
              <a:solidFill>
                <a:srgbClr val="000000"/>
              </a:solidFill>
              <a:latin typeface="Calibri"/>
              <a:cs typeface="Calibri"/>
            </a:rPr>
            <a:t>  --storage-account "mystorageaccount" \</a:t>
          </a:r>
        </a:p>
        <a:p>
          <a:pPr algn="l" rtl="0">
            <a:defRPr sz="1000"/>
          </a:pPr>
          <a:r>
            <a:rPr lang="en-US" sz="1100" b="0" i="0" u="none" strike="noStrike" baseline="0">
              <a:solidFill>
                <a:srgbClr val="000000"/>
              </a:solidFill>
              <a:latin typeface="Calibri"/>
              <a:cs typeface="Calibri"/>
            </a:rPr>
            <a:t>  --container "mycontainer" \</a:t>
          </a:r>
        </a:p>
        <a:p>
          <a:pPr algn="l" rtl="0">
            <a:defRPr sz="1000"/>
          </a:pPr>
          <a:r>
            <a:rPr lang="en-US" sz="1100" b="0" i="0" u="none" strike="noStrike" baseline="0">
              <a:solidFill>
                <a:srgbClr val="000000"/>
              </a:solidFill>
              <a:latin typeface="Calibri"/>
              <a:cs typeface="Calibri"/>
            </a:rPr>
            <a:t>  --prefix "myprefix" \</a:t>
          </a:r>
        </a:p>
        <a:p>
          <a:pPr algn="l" rtl="0">
            <a:defRPr sz="1000"/>
          </a:pPr>
          <a:r>
            <a:rPr lang="en-US" sz="1100" b="0" i="0" u="none" strike="noStrike" baseline="0">
              <a:solidFill>
                <a:srgbClr val="000000"/>
              </a:solidFill>
              <a:latin typeface="Calibri"/>
              <a:cs typeface="Calibri"/>
            </a:rPr>
            <a:t>  --start-date $(date +%Y-01-01) \</a:t>
          </a:r>
        </a:p>
        <a:p>
          <a:pPr algn="l" rtl="0">
            <a:defRPr sz="1000"/>
          </a:pPr>
          <a:r>
            <a:rPr lang="en-US" sz="1100" b="0" i="0" u="none" strike="noStrike" baseline="0">
              <a:solidFill>
                <a:srgbClr val="000000"/>
              </a:solidFill>
              <a:latin typeface="Calibri"/>
              <a:cs typeface="Calibri"/>
            </a:rPr>
            <a:t>  --end-date $(date +%Y-12-31) \</a:t>
          </a:r>
        </a:p>
        <a:p>
          <a:pPr algn="l" rtl="0">
            <a:defRPr sz="1000"/>
          </a:pPr>
          <a:r>
            <a:rPr lang="en-US" sz="1100" b="0" i="0" u="none" strike="noStrike" baseline="0">
              <a:solidFill>
                <a:srgbClr val="000000"/>
              </a:solidFill>
              <a:latin typeface="Calibri"/>
              <a:cs typeface="Calibri"/>
            </a:rPr>
            <a:t>  --frequency "Monthly" \</a:t>
          </a:r>
        </a:p>
        <a:p>
          <a:pPr algn="l" rtl="0">
            <a:defRPr sz="1000"/>
          </a:pPr>
          <a:r>
            <a:rPr lang="en-US" sz="1100" b="0" i="0" u="none" strike="noStrike" baseline="0">
              <a:solidFill>
                <a:srgbClr val="000000"/>
              </a:solidFill>
              <a:latin typeface="Calibri"/>
              <a:cs typeface="Calibri"/>
            </a:rPr>
            <a:t>  --analysis-services-options "$['Microsoft.CostAnalysis']"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361950</xdr:colOff>
      <xdr:row>1</xdr:row>
      <xdr:rowOff>57148</xdr:rowOff>
    </xdr:from>
    <xdr:to>
      <xdr:col>32</xdr:col>
      <xdr:colOff>400050</xdr:colOff>
      <xdr:row>83</xdr:row>
      <xdr:rowOff>137159</xdr:rowOff>
    </xdr:to>
    <xdr:sp macro="" textlink="">
      <xdr:nvSpPr>
        <xdr:cNvPr id="54273" name="Text Box 1">
          <a:extLst>
            <a:ext uri="{FF2B5EF4-FFF2-40B4-BE49-F238E27FC236}">
              <a16:creationId xmlns:a16="http://schemas.microsoft.com/office/drawing/2014/main" id="{00000000-0008-0000-0B00-000001D40000}"/>
            </a:ext>
          </a:extLst>
        </xdr:cNvPr>
        <xdr:cNvSpPr txBox="1">
          <a:spLocks noChangeArrowheads="1"/>
        </xdr:cNvSpPr>
      </xdr:nvSpPr>
      <xdr:spPr bwMode="auto">
        <a:xfrm>
          <a:off x="8896350" y="238123"/>
          <a:ext cx="11010900" cy="14919961"/>
        </a:xfrm>
        <a:prstGeom prst="rect">
          <a:avLst/>
        </a:prstGeom>
        <a:solidFill>
          <a:schemeClr val="accent4">
            <a:lumMod val="20000"/>
            <a:lumOff val="80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fr-FR" sz="1100" b="0" i="0" u="none" strike="noStrike" baseline="0">
              <a:solidFill>
                <a:srgbClr val="000000"/>
              </a:solidFill>
              <a:latin typeface="Calibri"/>
              <a:cs typeface="Calibri"/>
            </a:rPr>
            <a:t>{</a:t>
          </a:r>
        </a:p>
        <a:p>
          <a:pPr algn="l" rtl="0">
            <a:defRPr sz="1000"/>
          </a:pPr>
          <a:r>
            <a:rPr lang="fr-FR" sz="1100" b="0" i="0" u="none" strike="noStrike" baseline="0">
              <a:solidFill>
                <a:srgbClr val="000000"/>
              </a:solidFill>
              <a:latin typeface="Calibri"/>
              <a:cs typeface="Calibri"/>
            </a:rPr>
            <a:t>    "$schema": "https://schema.management.azure.com/schemas/2019-04-01/deploymentTemplate.json#",</a:t>
          </a:r>
        </a:p>
        <a:p>
          <a:pPr algn="l" rtl="0">
            <a:defRPr sz="1000"/>
          </a:pPr>
          <a:r>
            <a:rPr lang="fr-FR" sz="1100" b="0" i="0" u="none" strike="noStrike" baseline="0">
              <a:solidFill>
                <a:srgbClr val="000000"/>
              </a:solidFill>
              <a:latin typeface="Calibri"/>
              <a:cs typeface="Calibri"/>
            </a:rPr>
            <a:t>    "contentVersion": "1.0.0.0",</a:t>
          </a:r>
        </a:p>
        <a:p>
          <a:pPr algn="l" rtl="0">
            <a:defRPr sz="1000"/>
          </a:pPr>
          <a:r>
            <a:rPr lang="fr-FR" sz="1100" b="0" i="0" u="none" strike="noStrike" baseline="0">
              <a:solidFill>
                <a:srgbClr val="000000"/>
              </a:solidFill>
              <a:latin typeface="Calibri"/>
              <a:cs typeface="Calibri"/>
            </a:rPr>
            <a:t>    "parameters": {</a:t>
          </a:r>
        </a:p>
        <a:p>
          <a:pPr algn="l" rtl="0">
            <a:defRPr sz="1000"/>
          </a:pPr>
          <a:r>
            <a:rPr lang="fr-FR" sz="1100" b="0" i="0" u="none" strike="noStrike" baseline="0">
              <a:solidFill>
                <a:srgbClr val="000000"/>
              </a:solidFill>
              <a:latin typeface="Calibri"/>
              <a:cs typeface="Calibri"/>
            </a:rPr>
            <a:t>        "virtualMachines_vmweb_aqwn_sef_preprod_ne_01_name": {</a:t>
          </a:r>
        </a:p>
        <a:p>
          <a:pPr algn="l" rtl="0">
            <a:defRPr sz="1000"/>
          </a:pPr>
          <a:r>
            <a:rPr lang="fr-FR" sz="1100" b="0" i="0" u="none" strike="noStrike" baseline="0">
              <a:solidFill>
                <a:srgbClr val="000000"/>
              </a:solidFill>
              <a:latin typeface="Calibri"/>
              <a:cs typeface="Calibri"/>
            </a:rPr>
            <a:t>            "defaultValue": "vmweb-aqwn-sef-preprod-ne-01",</a:t>
          </a:r>
        </a:p>
        <a:p>
          <a:pPr algn="l" rtl="0">
            <a:defRPr sz="1000"/>
          </a:pPr>
          <a:r>
            <a:rPr lang="fr-FR" sz="1100" b="0" i="0" u="none" strike="noStrike" baseline="0">
              <a:solidFill>
                <a:srgbClr val="000000"/>
              </a:solidFill>
              <a:latin typeface="Calibri"/>
              <a:cs typeface="Calibri"/>
            </a:rPr>
            <a:t>            "type": "String"</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"disks_vmweb_aqwn_sef_preprod_ne_01_OsDisk_1_de2ee90a26c3427d963fae3527aeaab0_externalid": {</a:t>
          </a:r>
        </a:p>
        <a:p>
          <a:pPr algn="l" rtl="0">
            <a:defRPr sz="1000"/>
          </a:pPr>
          <a:r>
            <a:rPr lang="fr-FR" sz="1100" b="0" i="0" u="none" strike="noStrike" baseline="0">
              <a:solidFill>
                <a:srgbClr val="000000"/>
              </a:solidFill>
              <a:latin typeface="Calibri"/>
              <a:cs typeface="Calibri"/>
            </a:rPr>
            <a:t>            "defaultValue": "/subscriptions/af9f6198-6bb3-4dcf-aa26-3626cb338b4d/resourceGroups/RG-AQWN-SEF-PREPROD-NE/providers/Microsoft.Compute/disks/vmweb-aqwn-sef-preprod-ne-01_OsDisk_1_de2ee90a26c3427d963fae3527aeaab0",</a:t>
          </a:r>
        </a:p>
        <a:p>
          <a:pPr algn="l" rtl="0">
            <a:defRPr sz="1000"/>
          </a:pPr>
          <a:r>
            <a:rPr lang="fr-FR" sz="1100" b="0" i="0" u="none" strike="noStrike" baseline="0">
              <a:solidFill>
                <a:srgbClr val="000000"/>
              </a:solidFill>
              <a:latin typeface="Calibri"/>
              <a:cs typeface="Calibri"/>
            </a:rPr>
            <a:t>            "type": "String"</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"networkInterfaces_vmweb_aqwn_sef_preprod_ne_01132_externalid": {</a:t>
          </a:r>
        </a:p>
        <a:p>
          <a:pPr algn="l" rtl="0">
            <a:defRPr sz="1000"/>
          </a:pPr>
          <a:r>
            <a:rPr lang="fr-FR" sz="1100" b="0" i="0" u="none" strike="noStrike" baseline="0">
              <a:solidFill>
                <a:srgbClr val="000000"/>
              </a:solidFill>
              <a:latin typeface="Calibri"/>
              <a:cs typeface="Calibri"/>
            </a:rPr>
            <a:t>            "defaultValue": "/subscriptions/af9f6198-6bb3-4dcf-aa26-3626cb338b4d/resourceGroups/rg-aqwn-sef-preprod-ne/providers/Microsoft.Network/networkInterfaces/vmweb-aqwn-sef-preprod-ne-01132",</a:t>
          </a:r>
        </a:p>
        <a:p>
          <a:pPr algn="l" rtl="0">
            <a:defRPr sz="1000"/>
          </a:pPr>
          <a:r>
            <a:rPr lang="fr-FR" sz="1100" b="0" i="0" u="none" strike="noStrike" baseline="0">
              <a:solidFill>
                <a:srgbClr val="000000"/>
              </a:solidFill>
              <a:latin typeface="Calibri"/>
              <a:cs typeface="Calibri"/>
            </a:rPr>
            <a:t>            "type": "String"</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"variables": {},</a:t>
          </a:r>
        </a:p>
        <a:p>
          <a:pPr algn="l" rtl="0">
            <a:defRPr sz="1000"/>
          </a:pPr>
          <a:r>
            <a:rPr lang="fr-FR" sz="1100" b="0" i="0" u="none" strike="noStrike" baseline="0">
              <a:solidFill>
                <a:srgbClr val="000000"/>
              </a:solidFill>
              <a:latin typeface="Calibri"/>
              <a:cs typeface="Calibri"/>
            </a:rPr>
            <a:t>    "resources":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"type": "Microsoft.Compute/virtualMachines",</a:t>
          </a:r>
        </a:p>
        <a:p>
          <a:pPr algn="l" rtl="0">
            <a:defRPr sz="1000"/>
          </a:pPr>
          <a:r>
            <a:rPr lang="fr-FR" sz="1100" b="0" i="0" u="none" strike="noStrike" baseline="0">
              <a:solidFill>
                <a:srgbClr val="000000"/>
              </a:solidFill>
              <a:latin typeface="Calibri"/>
              <a:cs typeface="Calibri"/>
            </a:rPr>
            <a:t>            "apiVersion": "2022-11-01",</a:t>
          </a:r>
        </a:p>
        <a:p>
          <a:pPr algn="l" rtl="0">
            <a:defRPr sz="1000"/>
          </a:pPr>
          <a:r>
            <a:rPr lang="fr-FR" sz="1100" b="0" i="0" u="none" strike="noStrike" baseline="0">
              <a:solidFill>
                <a:srgbClr val="000000"/>
              </a:solidFill>
              <a:latin typeface="Calibri"/>
              <a:cs typeface="Calibri"/>
            </a:rPr>
            <a:t>            "name": "[parameters('virtualMachines_vmweb_aqwn_sef_preprod_ne_01_name')]",</a:t>
          </a:r>
        </a:p>
        <a:p>
          <a:pPr algn="l" rtl="0">
            <a:defRPr sz="1000"/>
          </a:pPr>
          <a:r>
            <a:rPr lang="fr-FR" sz="1100" b="0" i="0" u="none" strike="noStrike" baseline="0">
              <a:solidFill>
                <a:srgbClr val="000000"/>
              </a:solidFill>
              <a:latin typeface="Calibri"/>
              <a:cs typeface="Calibri"/>
            </a:rPr>
            <a:t>            "location": "northeurope",</a:t>
          </a:r>
        </a:p>
        <a:p>
          <a:pPr algn="l" rtl="0">
            <a:defRPr sz="1000"/>
          </a:pPr>
          <a:r>
            <a:rPr lang="fr-FR" sz="1100" b="0" i="0" u="none" strike="noStrike" baseline="0">
              <a:solidFill>
                <a:srgbClr val="000000"/>
              </a:solidFill>
              <a:latin typeface="Calibri"/>
              <a:cs typeface="Calibri"/>
            </a:rPr>
            <a:t>            "tags": {</a:t>
          </a:r>
        </a:p>
        <a:p>
          <a:pPr algn="l" rtl="0">
            <a:defRPr sz="1000"/>
          </a:pPr>
          <a:r>
            <a:rPr lang="fr-FR" sz="1100" b="0" i="0" u="none" strike="noStrike" baseline="0">
              <a:solidFill>
                <a:srgbClr val="000000"/>
              </a:solidFill>
              <a:latin typeface="Calibri"/>
              <a:cs typeface="Calibri"/>
            </a:rPr>
            <a:t>                "CloudGuard-KMSAzure": "TRUE",</a:t>
          </a:r>
        </a:p>
        <a:p>
          <a:pPr algn="l" rtl="0">
            <a:defRPr sz="1000"/>
          </a:pPr>
          <a:r>
            <a:rPr lang="fr-FR" sz="1100" b="0" i="0" u="none" strike="noStrike" baseline="0">
              <a:solidFill>
                <a:srgbClr val="000000"/>
              </a:solidFill>
              <a:latin typeface="Calibri"/>
              <a:cs typeface="Calibri"/>
            </a:rPr>
            <a:t>                "CloudGuard-WindowsUpdate": "TRUE"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"properties": {</a:t>
          </a:r>
        </a:p>
        <a:p>
          <a:pPr algn="l" rtl="0">
            <a:defRPr sz="1000"/>
          </a:pPr>
          <a:r>
            <a:rPr lang="fr-FR" sz="1100" b="0" i="0" u="none" strike="noStrike" baseline="0">
              <a:solidFill>
                <a:srgbClr val="000000"/>
              </a:solidFill>
              <a:latin typeface="Calibri"/>
              <a:cs typeface="Calibri"/>
            </a:rPr>
            <a:t>                "hardwareProfile": {</a:t>
          </a:r>
        </a:p>
        <a:p>
          <a:pPr algn="l" rtl="0">
            <a:defRPr sz="1000"/>
          </a:pPr>
          <a:r>
            <a:rPr lang="fr-FR" sz="1100" b="0" i="0" u="none" strike="noStrike" baseline="0">
              <a:solidFill>
                <a:srgbClr val="000000"/>
              </a:solidFill>
              <a:latin typeface="Calibri"/>
              <a:cs typeface="Calibri"/>
            </a:rPr>
            <a:t>                    "vmSize": "Standard_D4as_v5"</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"storageProfile": {</a:t>
          </a:r>
        </a:p>
        <a:p>
          <a:pPr algn="l" rtl="0">
            <a:defRPr sz="1000"/>
          </a:pPr>
          <a:r>
            <a:rPr lang="fr-FR" sz="1100" b="0" i="0" u="none" strike="noStrike" baseline="0">
              <a:solidFill>
                <a:srgbClr val="000000"/>
              </a:solidFill>
              <a:latin typeface="Calibri"/>
              <a:cs typeface="Calibri"/>
            </a:rPr>
            <a:t>                    "imageReference": {</a:t>
          </a:r>
        </a:p>
        <a:p>
          <a:pPr algn="l" rtl="0">
            <a:defRPr sz="1000"/>
          </a:pPr>
          <a:r>
            <a:rPr lang="fr-FR" sz="1100" b="0" i="0" u="none" strike="noStrike" baseline="0">
              <a:solidFill>
                <a:srgbClr val="000000"/>
              </a:solidFill>
              <a:latin typeface="Calibri"/>
              <a:cs typeface="Calibri"/>
            </a:rPr>
            <a:t>                        "publisher": "MicrosoftWindowsServer",</a:t>
          </a:r>
        </a:p>
        <a:p>
          <a:pPr algn="l" rtl="0">
            <a:defRPr sz="1000"/>
          </a:pPr>
          <a:r>
            <a:rPr lang="fr-FR" sz="1100" b="0" i="0" u="none" strike="noStrike" baseline="0">
              <a:solidFill>
                <a:srgbClr val="000000"/>
              </a:solidFill>
              <a:latin typeface="Calibri"/>
              <a:cs typeface="Calibri"/>
            </a:rPr>
            <a:t>                        "offer": "WindowsServer",</a:t>
          </a:r>
        </a:p>
        <a:p>
          <a:pPr algn="l" rtl="0">
            <a:defRPr sz="1000"/>
          </a:pPr>
          <a:r>
            <a:rPr lang="fr-FR" sz="1100" b="0" i="0" u="none" strike="noStrike" baseline="0">
              <a:solidFill>
                <a:srgbClr val="000000"/>
              </a:solidFill>
              <a:latin typeface="Calibri"/>
              <a:cs typeface="Calibri"/>
            </a:rPr>
            <a:t>                        "sku": "2022-datacenter-azure-edition",</a:t>
          </a:r>
        </a:p>
        <a:p>
          <a:pPr algn="l" rtl="0">
            <a:defRPr sz="1000"/>
          </a:pPr>
          <a:r>
            <a:rPr lang="fr-FR" sz="1100" b="0" i="0" u="none" strike="noStrike" baseline="0">
              <a:solidFill>
                <a:srgbClr val="000000"/>
              </a:solidFill>
              <a:latin typeface="Calibri"/>
              <a:cs typeface="Calibri"/>
            </a:rPr>
            <a:t>                        "version": "latest"</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"osDisk": {</a:t>
          </a:r>
        </a:p>
        <a:p>
          <a:pPr algn="l" rtl="0">
            <a:defRPr sz="1000"/>
          </a:pPr>
          <a:r>
            <a:rPr lang="fr-FR" sz="1100" b="0" i="0" u="none" strike="noStrike" baseline="0">
              <a:solidFill>
                <a:srgbClr val="000000"/>
              </a:solidFill>
              <a:latin typeface="Calibri"/>
              <a:cs typeface="Calibri"/>
            </a:rPr>
            <a:t>                        "osType": "Windows",</a:t>
          </a:r>
        </a:p>
        <a:p>
          <a:pPr algn="l" rtl="0">
            <a:defRPr sz="1000"/>
          </a:pPr>
          <a:r>
            <a:rPr lang="fr-FR" sz="1100" b="0" i="0" u="none" strike="noStrike" baseline="0">
              <a:solidFill>
                <a:srgbClr val="000000"/>
              </a:solidFill>
              <a:latin typeface="Calibri"/>
              <a:cs typeface="Calibri"/>
            </a:rPr>
            <a:t>                        "name": "[concat(parameters('virtualMachines_vmweb_aqwn_sef_preprod_ne_01_name'), '_OsDisk_1_de2ee90a26c3427d963fae3527aeaab0')]",</a:t>
          </a:r>
        </a:p>
        <a:p>
          <a:pPr algn="l" rtl="0">
            <a:defRPr sz="1000"/>
          </a:pPr>
          <a:r>
            <a:rPr lang="fr-FR" sz="1100" b="0" i="0" u="none" strike="noStrike" baseline="0">
              <a:solidFill>
                <a:srgbClr val="000000"/>
              </a:solidFill>
              <a:latin typeface="Calibri"/>
              <a:cs typeface="Calibri"/>
            </a:rPr>
            <a:t>                        "createOption": "FromImage",</a:t>
          </a:r>
        </a:p>
        <a:p>
          <a:pPr algn="l" rtl="0">
            <a:defRPr sz="1000"/>
          </a:pPr>
          <a:r>
            <a:rPr lang="fr-FR" sz="1100" b="0" i="0" u="none" strike="noStrike" baseline="0">
              <a:solidFill>
                <a:srgbClr val="000000"/>
              </a:solidFill>
              <a:latin typeface="Calibri"/>
              <a:cs typeface="Calibri"/>
            </a:rPr>
            <a:t>                        "caching": "ReadWrite",</a:t>
          </a:r>
        </a:p>
        <a:p>
          <a:pPr algn="l" rtl="0">
            <a:defRPr sz="1000"/>
          </a:pPr>
          <a:r>
            <a:rPr lang="fr-FR" sz="1100" b="0" i="0" u="none" strike="noStrike" baseline="0">
              <a:solidFill>
                <a:srgbClr val="000000"/>
              </a:solidFill>
              <a:latin typeface="Calibri"/>
              <a:cs typeface="Calibri"/>
            </a:rPr>
            <a:t>                        "managedDisk": {</a:t>
          </a:r>
        </a:p>
        <a:p>
          <a:pPr algn="l" rtl="0">
            <a:defRPr sz="1000"/>
          </a:pPr>
          <a:r>
            <a:rPr lang="fr-FR" sz="1100" b="0" i="0" u="none" strike="noStrike" baseline="0">
              <a:solidFill>
                <a:srgbClr val="000000"/>
              </a:solidFill>
              <a:latin typeface="Calibri"/>
              <a:cs typeface="Calibri"/>
            </a:rPr>
            <a:t>                            "id": "[parameters('disks_vmweb_aqwn_sef_preprod_ne_01_OsDisk_1_de2ee90a26c3427d963fae3527aeaab0_externalid')]"</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"deleteOption": "Delete"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"dataDisks":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"osProfile": {</a:t>
          </a:r>
        </a:p>
        <a:p>
          <a:pPr algn="l" rtl="0">
            <a:defRPr sz="1000"/>
          </a:pPr>
          <a:r>
            <a:rPr lang="fr-FR" sz="1100" b="0" i="0" u="none" strike="noStrike" baseline="0">
              <a:solidFill>
                <a:srgbClr val="000000"/>
              </a:solidFill>
              <a:latin typeface="Calibri"/>
              <a:cs typeface="Calibri"/>
            </a:rPr>
            <a:t>                    "computerName": "vmweb-aqwn-sef-",</a:t>
          </a:r>
        </a:p>
        <a:p>
          <a:pPr algn="l" rtl="0">
            <a:defRPr sz="1000"/>
          </a:pPr>
          <a:r>
            <a:rPr lang="fr-FR" sz="1100" b="0" i="0" u="none" strike="noStrike" baseline="0">
              <a:solidFill>
                <a:srgbClr val="000000"/>
              </a:solidFill>
              <a:latin typeface="Calibri"/>
              <a:cs typeface="Calibri"/>
            </a:rPr>
            <a:t>                    "adminUsername": "admin-vmweb-aqwn",</a:t>
          </a:r>
        </a:p>
        <a:p>
          <a:pPr algn="l" rtl="0">
            <a:defRPr sz="1000"/>
          </a:pPr>
          <a:r>
            <a:rPr lang="fr-FR" sz="1100" b="0" i="0" u="none" strike="noStrike" baseline="0">
              <a:solidFill>
                <a:srgbClr val="000000"/>
              </a:solidFill>
              <a:latin typeface="Calibri"/>
              <a:cs typeface="Calibri"/>
            </a:rPr>
            <a:t>                    "windowsConfiguration": {</a:t>
          </a:r>
        </a:p>
        <a:p>
          <a:pPr algn="l" rtl="0">
            <a:defRPr sz="1000"/>
          </a:pPr>
          <a:r>
            <a:rPr lang="fr-FR" sz="1100" b="0" i="0" u="none" strike="noStrike" baseline="0">
              <a:solidFill>
                <a:srgbClr val="000000"/>
              </a:solidFill>
              <a:latin typeface="Calibri"/>
              <a:cs typeface="Calibri"/>
            </a:rPr>
            <a:t>                        "provisionVMAgent": true,</a:t>
          </a:r>
        </a:p>
        <a:p>
          <a:pPr algn="l" rtl="0">
            <a:defRPr sz="1000"/>
          </a:pPr>
          <a:r>
            <a:rPr lang="fr-FR" sz="1100" b="0" i="0" u="none" strike="noStrike" baseline="0">
              <a:solidFill>
                <a:srgbClr val="000000"/>
              </a:solidFill>
              <a:latin typeface="Calibri"/>
              <a:cs typeface="Calibri"/>
            </a:rPr>
            <a:t>                        "enableAutomaticUpdates": true,</a:t>
          </a:r>
        </a:p>
        <a:p>
          <a:pPr algn="l" rtl="0">
            <a:defRPr sz="1000"/>
          </a:pPr>
          <a:r>
            <a:rPr lang="fr-FR" sz="1100" b="0" i="0" u="none" strike="noStrike" baseline="0">
              <a:solidFill>
                <a:srgbClr val="000000"/>
              </a:solidFill>
              <a:latin typeface="Calibri"/>
              <a:cs typeface="Calibri"/>
            </a:rPr>
            <a:t>                        "patchSettings": {</a:t>
          </a:r>
        </a:p>
        <a:p>
          <a:pPr algn="l" rtl="0">
            <a:defRPr sz="1000"/>
          </a:pPr>
          <a:r>
            <a:rPr lang="fr-FR" sz="1100" b="0" i="0" u="none" strike="noStrike" baseline="0">
              <a:solidFill>
                <a:srgbClr val="000000"/>
              </a:solidFill>
              <a:latin typeface="Calibri"/>
              <a:cs typeface="Calibri"/>
            </a:rPr>
            <a:t>                            "patchMode": "AutomaticByOS",</a:t>
          </a:r>
        </a:p>
        <a:p>
          <a:pPr algn="l" rtl="0">
            <a:defRPr sz="1000"/>
          </a:pPr>
          <a:r>
            <a:rPr lang="fr-FR" sz="1100" b="0" i="0" u="none" strike="noStrike" baseline="0">
              <a:solidFill>
                <a:srgbClr val="000000"/>
              </a:solidFill>
              <a:latin typeface="Calibri"/>
              <a:cs typeface="Calibri"/>
            </a:rPr>
            <a:t>                            "assessmentMode": "ImageDefault",</a:t>
          </a:r>
        </a:p>
        <a:p>
          <a:pPr algn="l" rtl="0">
            <a:defRPr sz="1000"/>
          </a:pPr>
          <a:r>
            <a:rPr lang="fr-FR" sz="1100" b="0" i="0" u="none" strike="noStrike" baseline="0">
              <a:solidFill>
                <a:srgbClr val="000000"/>
              </a:solidFill>
              <a:latin typeface="Calibri"/>
              <a:cs typeface="Calibri"/>
            </a:rPr>
            <a:t>                            "enableHotpatching": false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"enableVMAgentPlatformUpdates": false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"secrets": [],</a:t>
          </a:r>
        </a:p>
        <a:p>
          <a:pPr algn="l" rtl="0">
            <a:defRPr sz="1000"/>
          </a:pPr>
          <a:r>
            <a:rPr lang="fr-FR" sz="1100" b="0" i="0" u="none" strike="noStrike" baseline="0">
              <a:solidFill>
                <a:srgbClr val="000000"/>
              </a:solidFill>
              <a:latin typeface="Calibri"/>
              <a:cs typeface="Calibri"/>
            </a:rPr>
            <a:t>                    "allowExtensionOperations": true,</a:t>
          </a:r>
        </a:p>
        <a:p>
          <a:pPr algn="l" rtl="0">
            <a:defRPr sz="1000"/>
          </a:pPr>
          <a:r>
            <a:rPr lang="fr-FR" sz="1100" b="0" i="0" u="none" strike="noStrike" baseline="0">
              <a:solidFill>
                <a:srgbClr val="000000"/>
              </a:solidFill>
              <a:latin typeface="Calibri"/>
              <a:cs typeface="Calibri"/>
            </a:rPr>
            <a:t>                    "requireGuestProvisionSignal": true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"networkProfile": {</a:t>
          </a:r>
        </a:p>
        <a:p>
          <a:pPr algn="l" rtl="0">
            <a:defRPr sz="1000"/>
          </a:pPr>
          <a:r>
            <a:rPr lang="fr-FR" sz="1100" b="0" i="0" u="none" strike="noStrike" baseline="0">
              <a:solidFill>
                <a:srgbClr val="000000"/>
              </a:solidFill>
              <a:latin typeface="Calibri"/>
              <a:cs typeface="Calibri"/>
            </a:rPr>
            <a:t>                    "networkInterfaces":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"id": "[parameters('networkInterfaces_vmweb_aqwn_sef_preprod_ne_01132_externalid')]",</a:t>
          </a:r>
        </a:p>
        <a:p>
          <a:pPr algn="l" rtl="0">
            <a:defRPr sz="1000"/>
          </a:pPr>
          <a:r>
            <a:rPr lang="fr-FR" sz="1100" b="0" i="0" u="none" strike="noStrike" baseline="0">
              <a:solidFill>
                <a:srgbClr val="000000"/>
              </a:solidFill>
              <a:latin typeface="Calibri"/>
              <a:cs typeface="Calibri"/>
            </a:rPr>
            <a:t>                            "properties": {</a:t>
          </a:r>
        </a:p>
        <a:p>
          <a:pPr algn="l" rtl="0">
            <a:defRPr sz="1000"/>
          </a:pPr>
          <a:r>
            <a:rPr lang="fr-FR" sz="1100" b="0" i="0" u="none" strike="noStrike" baseline="0">
              <a:solidFill>
                <a:srgbClr val="000000"/>
              </a:solidFill>
              <a:latin typeface="Calibri"/>
              <a:cs typeface="Calibri"/>
            </a:rPr>
            <a:t>                                "deleteOption": "Delete"</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    ]</a:t>
          </a:r>
        </a:p>
        <a:p>
          <a:pPr algn="l" rtl="0">
            <a:defRPr sz="1000"/>
          </a:pPr>
          <a:r>
            <a:rPr lang="fr-FR" sz="1100" b="0" i="0" u="none" strike="noStrike" baseline="0">
              <a:solidFill>
                <a:srgbClr val="000000"/>
              </a:solidFill>
              <a:latin typeface="Calibri"/>
              <a:cs typeface="Calibri"/>
            </a:rPr>
            <a:t>}</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backgroundRefresh="0" connectionId="1" xr16:uid="{00000000-0016-0000-0400-000000000000}" autoFormatId="16" applyNumberFormats="0" applyBorderFormats="0" applyFontFormats="0" applyPatternFormats="0" applyAlignmentFormats="0" applyWidthHeightFormats="0">
  <queryTableRefresh nextId="7">
    <queryTableFields count="6">
      <queryTableField id="1" name="Title" tableColumnId="1"/>
      <queryTableField id="4" name="Name" tableColumnId="2"/>
      <queryTableField id="5" name="SubscriptionID" tableColumnId="3"/>
      <queryTableField id="6" name="Fees" tableColumnId="4"/>
      <queryTableField id="3" name="Item Type" tableColumnId="5"/>
      <queryTableField id="2" name="Path"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pic" xr10:uid="{E3654499-E2A2-4F00-A3CA-91F54A9DA845}" sourceName="Topic">
  <extLst>
    <x:ext xmlns:x15="http://schemas.microsoft.com/office/spreadsheetml/2010/11/main" uri="{2F2917AC-EB37-4324-AD4E-5DD8C200BD13}">
      <x15:tableSlicerCache tableId="6"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927B68E8-D63F-472F-A374-1990C26EDA03}" cache="Slicer_Topic" caption="Topic" columnCount="2" rowHeight="234950"/>
</slicers>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DE348CF-D305-4747-9A5F-14A8975FBABD}" name="Table_Home" displayName="Table_Home" ref="A9:D18" totalsRowShown="0" headerRowDxfId="164" dataDxfId="162" headerRowBorderDxfId="163" tableBorderDxfId="161" totalsRowBorderDxfId="160">
  <autoFilter ref="A9:D18" xr:uid="{00000000-0009-0000-0100-000002000000}">
    <filterColumn colId="0" hiddenButton="1"/>
    <filterColumn colId="1" hiddenButton="1"/>
    <filterColumn colId="2" hiddenButton="1"/>
    <filterColumn colId="3" hiddenButton="1"/>
  </autoFilter>
  <tableColumns count="4">
    <tableColumn id="1" xr3:uid="{38C953A9-778C-404A-AD2D-44EA54812973}" name="Topic" dataDxfId="159"/>
    <tableColumn id="5" xr3:uid="{80478DD0-6978-41C3-BE53-F6D596A5D72C}" name="Command description" dataDxfId="158"/>
    <tableColumn id="9" xr3:uid="{9E658CA5-BD7F-4952-8DEF-FA30EED70820}" name="Script" dataDxfId="157"/>
    <tableColumn id="14" xr3:uid="{ED9A5C74-B916-4BC6-8888-FAF653A9C7DB}" name="." dataDxfId="156">
      <calculatedColumnFormula>IF(Table_Home[[#This Row],[Script]]="","",".")</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D6E737-36B1-44CE-99B3-FDBB7A71EBBD}" name="Table_ResourceGroup" displayName="Table_ResourceGroup" ref="A12:M46" totalsRowShown="0" headerRowDxfId="154" dataDxfId="152" headerRowBorderDxfId="153" tableBorderDxfId="151" totalsRowBorderDxfId="150">
  <autoFilter ref="A12:M4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7" xr3:uid="{D38D2914-C708-4200-AB76-3DADFB2B0300}" name="Subscription" dataDxfId="149"/>
    <tableColumn id="1" xr3:uid="{C9AB38B7-219E-40A4-9D14-3318A05B2C8F}" name="Application" dataDxfId="148"/>
    <tableColumn id="2" xr3:uid="{9313DFA1-6693-46A2-ADCE-C84C74F7DD29}" name="Customer/Project" dataDxfId="147"/>
    <tableColumn id="3" xr3:uid="{042EF87C-53D1-4F89-98E7-1B7CFDF2293E}" name="Environment" dataDxfId="146"/>
    <tableColumn id="4" xr3:uid="{9BBAAB25-AFF4-4D31-8009-DB1A19FC3751}" name="region" dataDxfId="145"/>
    <tableColumn id="6" xr3:uid="{80D7EB1A-017D-4C3E-B6EA-A3595780F6CA}" name="owner &amp; financial_contact" dataDxfId="144"/>
    <tableColumn id="8" xr3:uid="{0F9FE3D1-92EB-4147-BC57-E5F91A4B7229}" name="billing_code" dataDxfId="143"/>
    <tableColumn id="10" xr3:uid="{14E72E94-AA3A-4656-91E0-E0DD8DC8546A}" name="Subscription ID" dataDxfId="142">
      <calculatedColumnFormula array="1">GetSubscriptionID(Table_ResourceGroup[[#This Row],[Subscription]])</calculatedColumnFormula>
    </tableColumn>
    <tableColumn id="5" xr3:uid="{7D162D83-56B2-4CDD-A12F-055A2B87BB98}" name="Resource Group name" dataDxfId="141">
      <calculatedColumnFormula array="1">CreateResourceName("rg",Table_ResourceGroup[[#This Row],[Application]],Table_ResourceGroup[[#This Row],[Customer/Project]],Table_ResourceGroup[[#This Row],[Environment]],Table_ResourceGroup[[#This Row],[region]])</calculatedColumnFormula>
    </tableColumn>
    <tableColumn id="12" xr3:uid="{224635CF-FB03-4F8C-8CA9-9F579C51B494}" name="Envir" dataDxfId="140">
      <calculatedColumnFormula array="1">GetDsiEnvironment(Table_ResourceGroup[[#This Row],[Environment]])</calculatedColumnFormula>
    </tableColumn>
    <tableColumn id="11" xr3:uid="{9C6B0F9A-39BB-4686-805E-2167278D11D9}" name="Location" dataDxfId="139">
      <calculatedColumnFormula array="1">GetRegionName(Table_ResourceGroup[[#This Row],[region]])</calculatedColumnFormula>
    </tableColumn>
    <tableColumn id="9" xr3:uid="{4DFC91DD-274D-450E-8C0C-237B8398D0BC}" name="Script" dataDxfId="138">
      <calculatedColumnFormula array="1">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calculatedColumnFormula>
    </tableColumn>
    <tableColumn id="14" xr3:uid="{9159D779-BE33-4652-97EE-2A1E0F3C0D05}" name="." dataDxfId="137">
      <calculatedColumnFormula>IF(Table_ResourceGroup[[#This Row],[Script]]="","",".")</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E00C018-9CF3-4A04-95E0-A09D7C7C960F}" name="Table_AppGatewaySuez" displayName="Table_AppGatewaySuez" ref="A25:L28" totalsRowShown="0" headerRowDxfId="136" dataDxfId="135" tableBorderDxfId="134">
  <autoFilter ref="A25:L28" xr:uid="{4801DD1E-2CE5-404F-953E-848511B90D62}"/>
  <tableColumns count="12">
    <tableColumn id="1" xr3:uid="{0B57487D-BAA5-4B23-8508-DF0C95F86FA1}" name="Backend pool name" dataDxfId="133">
      <calculatedColumnFormula>$C$20</calculatedColumnFormula>
    </tableColumn>
    <tableColumn id="2" xr3:uid="{09F5CEE0-F7AC-49F5-8CD6-270D638F5E99}" name="Component" dataDxfId="132"/>
    <tableColumn id="3" xr3:uid="{CBD34D98-6253-4053-9AA6-2D84DD814286}" name="Product" dataDxfId="131"/>
    <tableColumn id="4" xr3:uid="{C35D1FA1-D238-42CB-8248-68CFDC2B1268}" name="Customer" dataDxfId="130"/>
    <tableColumn id="5" xr3:uid="{EA92D087-F8E3-4F39-B347-F7636B5A21B0}" name="Env." dataDxfId="129"/>
    <tableColumn id="12" xr3:uid="{2DCAF5D1-5AF6-40A6-A1C4-FDD3D6DE098D}" name="Priority" dataDxfId="128"/>
    <tableColumn id="6" xr3:uid="{C5A712C5-5FDD-432A-BDDE-A3D67D5EF420}" name="Protocol" dataDxfId="127"/>
    <tableColumn id="7" xr3:uid="{7277C7EF-9475-4B53-9486-83A4C4205E8B}" name="Port" dataDxfId="126"/>
    <tableColumn id="8" xr3:uid="{17702028-4EE1-4C83-8F64-F94B18649656}" name="Timeout" dataDxfId="125"/>
    <tableColumn id="11" xr3:uid="{836F50F2-5199-4019-9AE9-50ABF7AE0539}" name="Host name" dataDxfId="124">
      <calculatedColumnFormula array="1">IF(Table_AppGatewaySuez[[#This Row],[Product]]="","",GetHostName(Table_AppGatewaySuez[[#This Row],[Component]],Table_AppGatewaySuez[[#This Row],[Product]],Table_AppGatewaySuez[[#This Row],[Customer]],Table_AppGatewaySuez[[#This Row],[Env.]],$B$5))</calculatedColumnFormula>
    </tableColumn>
    <tableColumn id="9" xr3:uid="{B0E7846E-E299-413C-99BF-149B4DE8DC54}" name="Script" dataDxfId="123">
      <calculatedColumnFormula array="1">IF(Table_AppGatewaySuez[[#This Row],[Backend pool name]]="","",CLI_OpenAppGatewayFlow($B$3,$B$4,$B$5,$B$7,$B$8,$B$9,$B$10,$B$11,Table_AppGatewaySuez[[#This Row],[Host name]],Table_AppGatewaySuez[[#This Row],[Backend pool name]],Table_AppGatewaySuez[[#This Row],[Component]],Table_AppGatewaySuez[[#This Row],[Product]],Table_AppGatewaySuez[[#This Row],[Customer]],Table_AppGatewaySuez[[#This Row],[Env.]],Table_AppGatewaySuez[[#This Row],[Protocol]],Table_AppGatewaySuez[[#This Row],[Port]],Table_AppGatewaySuez[[#This Row],[Timeout]],Table_AppGatewaySuez[[#This Row],[Priority]]))</calculatedColumnFormula>
    </tableColumn>
    <tableColumn id="10" xr3:uid="{0EBC7E3D-08A4-4C73-9E56-ACA66ADC8C54}" name="." dataDxfId="122">
      <calculatedColumnFormula>IF(Table_AppGatewaySuez[[#This Row],[Script]]="","",".")</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107884-A361-4919-A624-F8944A5C2795}" name="Table_AppGatewayIS" displayName="Table_AppGatewayIS" ref="A25:K28" totalsRowShown="0" headerRowDxfId="121" dataDxfId="120" tableBorderDxfId="119">
  <autoFilter ref="A25:K28" xr:uid="{4801DD1E-2CE5-404F-953E-848511B90D62}"/>
  <tableColumns count="11">
    <tableColumn id="2" xr3:uid="{E72EAD8C-F8C1-45AC-A56F-8DB0EEAFE3BA}" name="Component" dataDxfId="118"/>
    <tableColumn id="3" xr3:uid="{19D2C801-67E9-426F-875D-57A482286D2B}" name="Product" dataDxfId="117"/>
    <tableColumn id="4" xr3:uid="{4DFF6B57-0957-4CDF-8165-0ECDCD840294}" name="Customer" dataDxfId="116"/>
    <tableColumn id="5" xr3:uid="{A9F68E65-907B-461F-B92A-4BA8B07421CC}" name="Env." dataDxfId="115"/>
    <tableColumn id="12" xr3:uid="{5C02832E-560F-4EA5-BB5A-FB4B6F576372}" name="Priority" dataDxfId="114"/>
    <tableColumn id="6" xr3:uid="{FBB33605-08A1-474A-A1FF-81CD9E07FFAD}" name="Protocol" dataDxfId="113"/>
    <tableColumn id="7" xr3:uid="{A4F0D2AC-D22E-45B4-9864-D5765C44DB06}" name="Port" dataDxfId="112"/>
    <tableColumn id="8" xr3:uid="{4E79266D-BAB1-4FAA-99DA-9292B5437CC5}" name="Timeout" dataDxfId="111"/>
    <tableColumn id="11" xr3:uid="{06030D5F-0033-4F20-818F-E798C5654075}" name="Host name" dataDxfId="110">
      <calculatedColumnFormula array="1">IF(Table_AppGatewayIS[[#This Row],[Product]]="","",GetHostName(Table_AppGatewayIS[[#This Row],[Component]],Table_AppGatewayIS[[#This Row],[Product]],Table_AppGatewayIS[[#This Row],[Customer]],Table_AppGatewayIS[[#This Row],[Env.]],$B$5))</calculatedColumnFormula>
    </tableColumn>
    <tableColumn id="9" xr3:uid="{4B58D9A8-9E1F-46F6-B395-E3099734D274}" name="Script" dataDxfId="109">
      <calculatedColumnFormula array="1">IF(Table_AppGatewayIS[[#This Row],[Product]]="","",CLI_OpenAppGatewayFlow($B$3,$B$4,$B$5,$B$7,$B$8,$B$9,$B$10,$B$11,Table_AppGatewayIS[[#This Row],[Host name]],$C$20,Table_AppGatewayIS[[#This Row],[Component]],Table_AppGatewayIS[[#This Row],[Product]],Table_AppGatewayIS[[#This Row],[Customer]],Table_AppGatewayIS[[#This Row],[Env.]],Table_AppGatewayIS[[#This Row],[Protocol]],Table_AppGatewayIS[[#This Row],[Port]],Table_AppGatewayIS[[#This Row],[Timeout]],Table_AppGatewayIS[[#This Row],[Priority]]))</calculatedColumnFormula>
    </tableColumn>
    <tableColumn id="10" xr3:uid="{F81FC315-FC0E-4992-A0B2-C10D188FFBBC}" name="." dataDxfId="108">
      <calculatedColumnFormula>IF(Table_AppGatewayIS[[#This Row],[Script]]="","",".")</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B13EDBF-CC29-4EC2-8C0E-6E3955400A5F}" name="Table_Subscription" displayName="Table_Subscription" ref="A8:E17" totalsRowShown="0" headerRowDxfId="106" dataDxfId="104" headerRowBorderDxfId="105" tableBorderDxfId="103" totalsRowBorderDxfId="102">
  <autoFilter ref="A8:E17" xr:uid="{00000000-0009-0000-0100-000002000000}">
    <filterColumn colId="0" hiddenButton="1"/>
    <filterColumn colId="1" hiddenButton="1"/>
    <filterColumn colId="2" hiddenButton="1"/>
    <filterColumn colId="3" hiddenButton="1"/>
    <filterColumn colId="4" hiddenButton="1"/>
  </autoFilter>
  <tableColumns count="5">
    <tableColumn id="1" xr3:uid="{1A721A77-55BB-4BDD-B134-09D3F665757B}" name="Subscription" dataDxfId="101"/>
    <tableColumn id="5" xr3:uid="{AA8DE7EB-F8E7-441B-A23F-848990D6616F}" name="Subscription Name" dataDxfId="100">
      <calculatedColumnFormula array="1">GetSubscriptionName(Table_Subscription[[#This Row],[Subscription]])</calculatedColumnFormula>
    </tableColumn>
    <tableColumn id="12" xr3:uid="{72361D2D-76DF-4DE1-A990-5A783A78E12F}" name="Subscription ID" dataDxfId="99">
      <calculatedColumnFormula array="1">GetSubscriptionID(Table_Subscription[[#This Row],[Subscription]])</calculatedColumnFormula>
    </tableColumn>
    <tableColumn id="9" xr3:uid="{3B1C18C6-9F53-4F20-9C25-8B1F1B4D10A3}" name="Script" dataDxfId="98">
      <calculatedColumnFormula array="1">CLI_SelectSubscription(Table_Subscription[[#This Row],[Subscription ID]])</calculatedColumnFormula>
    </tableColumn>
    <tableColumn id="14" xr3:uid="{915339AB-7D28-494E-8DC6-D62CE8E9070E}" name="." dataDxfId="97">
      <calculatedColumnFormula>IF(Table_Subscription[[#This Row],[Script]]="","",".")</calculatedColumnFormula>
    </tableColumn>
  </tableColumns>
  <tableStyleInfo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_VNet" displayName="Table_VNet" ref="A8:K16" totalsRowShown="0" headerRowDxfId="96" dataDxfId="94" headerRowBorderDxfId="95" tableBorderDxfId="93" totalsRowBorderDxfId="92">
  <autoFilter ref="A8:K16"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00000000-0010-0000-0100-000008000000}" name="Resource Group" dataDxfId="91"/>
    <tableColumn id="1" xr3:uid="{00000000-0010-0000-0100-000001000000}" name="Customer" dataDxfId="90"/>
    <tableColumn id="2" xr3:uid="{00000000-0010-0000-0100-000002000000}" name="Environment" dataDxfId="89"/>
    <tableColumn id="3" xr3:uid="{00000000-0010-0000-0100-000003000000}" name="Region" dataDxfId="88"/>
    <tableColumn id="4" xr3:uid="{00000000-0010-0000-0100-000004000000}" name="Instance" dataDxfId="87"/>
    <tableColumn id="5" xr3:uid="{00000000-0010-0000-0100-000005000000}" name="vnet" dataDxfId="86">
      <calculatedColumnFormula array="1">CreateResourceName("vnet", Table_VNet[[#This Row],[Customer]],Table_VNet[[#This Row],[Environment]],Table_VNet[[#This Row],[Region]],Table_VNet[[#This Row],[Instance]])</calculatedColumnFormula>
    </tableColumn>
    <tableColumn id="6" xr3:uid="{00000000-0010-0000-0100-000006000000}" name="IP Adresses" dataDxfId="85"/>
    <tableColumn id="10" xr3:uid="{00000000-0010-0000-0100-00000A000000}" name="Subnet" dataDxfId="84"/>
    <tableColumn id="9" xr3:uid="{00000000-0010-0000-0100-000009000000}" name="Subnet Adresses" dataDxfId="83"/>
    <tableColumn id="7" xr3:uid="{00000000-0010-0000-0100-000007000000}" name="Script" dataDxfId="82">
      <calculatedColumnFormula array="1">CLI_CreateVNet(Table_VNet[[#This Row],[vnet]],Table_VNet[[#This Row],[Resource Group]],Table_VNet[[#This Row],[IP Adresses]],Table_VNet[[#This Row],[Subnet]],Table_VNet[[#This Row],[Subnet Adresses]])</calculatedColumnFormula>
    </tableColumn>
    <tableColumn id="11" xr3:uid="{234B3A8B-5BCC-4714-8520-4ECE25E730BB}" name="." dataDxfId="81">
      <calculatedColumnFormula>IF(Table_VNet[[#This Row],[Script]]="","",".")</calculatedColumnFormula>
    </tableColumn>
  </tableColumns>
  <tableStyleInfo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44283C-B7EF-47DA-B70B-ED1DFCBA7083}" name="Table19" displayName="Table19" ref="C9:H11" totalsRowShown="0" headerRowDxfId="80" dataDxfId="78" headerRowBorderDxfId="79" tableBorderDxfId="77" totalsRowBorderDxfId="76">
  <autoFilter ref="C9:H11" xr:uid="{4EB0B60F-FDB5-44B9-92CA-D917EE90F203}">
    <filterColumn colId="0" hiddenButton="1"/>
    <filterColumn colId="1" hiddenButton="1"/>
    <filterColumn colId="2" hiddenButton="1"/>
    <filterColumn colId="3" hiddenButton="1"/>
    <filterColumn colId="4" hiddenButton="1"/>
    <filterColumn colId="5" hiddenButton="1"/>
  </autoFilter>
  <tableColumns count="6">
    <tableColumn id="1" xr3:uid="{00673BD7-0264-4CA1-A00C-40E3543CD778}" name="Product" dataDxfId="75"/>
    <tableColumn id="2" xr3:uid="{FA1D8819-17C9-4877-8C38-2891E9E4624E}" name="Customer" dataDxfId="74"/>
    <tableColumn id="3" xr3:uid="{084CA175-ED40-4148-AF08-7A8C60D5928E}" name="Environment" dataDxfId="73"/>
    <tableColumn id="4" xr3:uid="{0D048F89-99EF-4009-B969-FCE1E09A09D0}" name="Backend pool name" dataDxfId="72">
      <calculatedColumnFormula>IF(Table19[[#This Row],[Product]]="","",Table19[[#This Row],[Product]]&amp;"-"&amp;Table19[[#This Row],[Customer]]&amp;"-"&amp;Table19[[#This Row],[Environment]]&amp;"-backend")</calculatedColumnFormula>
    </tableColumn>
    <tableColumn id="5" xr3:uid="{6D25BC9B-A394-4E61-A351-AF4DDBFC4BE7}" name="Target IP" dataDxfId="71"/>
    <tableColumn id="6" xr3:uid="{C198FD61-29AD-4465-8D2D-8931CE3C32E4}" name="Comment" dataDxfId="70"/>
  </tableColumns>
  <tableStyleInfo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722B445-38BC-4B7A-816C-22DDE2ED3E22}" name="Table210" displayName="Table210" ref="B14:I26" totalsRowShown="0" headerRowDxfId="69" dataDxfId="67" headerRowBorderDxfId="68" tableBorderDxfId="66" totalsRowBorderDxfId="65">
  <autoFilter ref="B14:I26" xr:uid="{FADF598B-CAEC-4516-9C23-3A0419144A2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EAF2F55-9EC6-418B-9BDD-C30AF9F8F126}" name="Component" dataDxfId="64"/>
    <tableColumn id="2" xr3:uid="{55342EC3-FF2E-44BA-BF9A-F10203C15F9B}" name="Product" dataDxfId="63"/>
    <tableColumn id="3" xr3:uid="{652B392A-2F33-41E9-ABEB-D1F256530BB3}" name="Customer" dataDxfId="62"/>
    <tableColumn id="4" xr3:uid="{85F7D0B0-866D-4C7C-8DCC-522E839D01B2}" name="Environment" dataDxfId="61"/>
    <tableColumn id="5" xr3:uid="{75176AF8-0D6A-46AB-9258-D62019CCECA2}" name="Backend settings name" dataDxfId="60">
      <calculatedColumnFormula>IF(Table210[[#This Row],[Product]]="","",IF(Table210[[#This Row],[Component]]="","",Table210[[#This Row],[Component]]&amp;"-")&amp;Table210[[#This Row],[Product]]&amp;"-"&amp;Table210[[#This Row],[Customer]]&amp;"-"&amp;Table210[[#This Row],[Environment]]&amp;"-backend-settings")</calculatedColumnFormula>
    </tableColumn>
    <tableColumn id="6" xr3:uid="{36771878-E9FE-4574-9803-662DFAAC365E}" name="Protocol" dataDxfId="59"/>
    <tableColumn id="7" xr3:uid="{7905B141-9F19-42A7-834D-AEF11EE3F55D}" name="Port" dataDxfId="58"/>
    <tableColumn id="8" xr3:uid="{3E1F38C5-D201-45C1-875A-2ABD571DB115}" name="Comment" dataDxfId="57"/>
  </tableColumns>
  <tableStyleInfo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9A686AC-4F6B-4426-A118-006013EE8378}" name="Table3612" displayName="Table3612" ref="B69:J81" totalsRowShown="0" headerRowDxfId="56" dataDxfId="54" headerRowBorderDxfId="55" tableBorderDxfId="53" totalsRowBorderDxfId="52">
  <autoFilter ref="B69:J81" xr:uid="{B8E38EA7-D087-4F23-9C4A-47104CEA7355}"/>
  <tableColumns count="9">
    <tableColumn id="1" xr3:uid="{ADC4B12B-917B-4AB7-8325-5F943C36F7F9}" name="Component" dataDxfId="51">
      <calculatedColumnFormula>IF(B15="","",B15)</calculatedColumnFormula>
    </tableColumn>
    <tableColumn id="2" xr3:uid="{09F368FA-B3E1-46E6-B74C-81A01B6C0279}" name="Product" dataDxfId="50">
      <calculatedColumnFormula>IF(C15="","",C15)</calculatedColumnFormula>
    </tableColumn>
    <tableColumn id="3" xr3:uid="{BCD32095-9029-406C-B1DB-66CF3E9893A4}" name="Customer" dataDxfId="49">
      <calculatedColumnFormula>IF(D15="","",D15)</calculatedColumnFormula>
    </tableColumn>
    <tableColumn id="4" xr3:uid="{9C6D8402-6438-4F58-AAF3-38B8FF23A110}" name="Environment" dataDxfId="48">
      <calculatedColumnFormula>IF(E15="","",E15)</calculatedColumnFormula>
    </tableColumn>
    <tableColumn id="5" xr3:uid="{4D11A5F3-6388-4FB8-AB8B-C99D9252AAF8}" name="Rule name" dataDxfId="47">
      <calculatedColumnFormula>IF(Table3612[[#This Row],[Product]]="","",IF(Table3612[[#This Row],[Component]]="","",Table3612[[#This Row],[Component]]&amp;"-")&amp;Table3612[[#This Row],[Product]]&amp;"-"&amp;Table3612[[#This Row],[Customer]]&amp;"-"&amp;Table3612[[#This Row],[Environment]]&amp;"-routing-rule")</calculatedColumnFormula>
    </tableColumn>
    <tableColumn id="12" xr3:uid="{668E7AEF-571E-42B4-BE93-571D0F74786A}" name="Priority" dataDxfId="46"/>
    <tableColumn id="11" xr3:uid="{066C085E-81C7-4066-B633-8087B180FE39}" name="Listener" dataDxfId="45">
      <calculatedColumnFormula>IF(Table3612[[#This Row],[Product]]="","",IF(Table3612[[#This Row],[Component]]="","",Table3612[[#This Row],[Component]]&amp;"-")&amp;Table3612[[#This Row],[Product]]&amp;"-"&amp;Table3612[[#This Row],[Customer]]&amp;"-"&amp;Table3612[[#This Row],[Environment]]&amp;"-https-listener")</calculatedColumnFormula>
    </tableColumn>
    <tableColumn id="6" xr3:uid="{97B631D2-C29A-43EC-AD70-632FDC38374B}" name="Backend target" dataDxfId="44">
      <calculatedColumnFormula>IF(Table3612[[#This Row],[Product]]="","",IF(Table3612[[#This Row],[Component]]="","",Table3612[[#This Row],[Component]]&amp;"-")&amp;Table3612[[#This Row],[Product]]&amp;"-"&amp;Table3612[[#This Row],[Customer]]&amp;"-"&amp;Table3612[[#This Row],[Environment]]&amp;"-https-listener")</calculatedColumnFormula>
    </tableColumn>
    <tableColumn id="7" xr3:uid="{51B1B6BE-6704-4533-8D27-E1F4B9C2F907}" name="Backend settings" dataDxfId="43">
      <calculatedColumnFormula>IF(Table3612[[#This Row],[Product]]="","",IF(Table3612[[#This Row],[Component]]="","",Table3612[[#This Row],[Component]]&amp;"-")&amp;Table3612[[#This Row],[Product]]&amp;"-"&amp;Table3612[[#This Row],[Customer]]&amp;"-"&amp;Table3612[[#This Row],[Environment]]&amp;"-backend-settings")</calculatedColumnFormula>
    </tableColumn>
  </tableColumns>
  <tableStyleInfo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A5DB771-3944-4CAA-8E66-1ACDE0D73D92}" name="Table36813" displayName="Table36813" ref="B87:I99" totalsRowShown="0" headerRowDxfId="42" dataDxfId="40" headerRowBorderDxfId="41" tableBorderDxfId="39" totalsRowBorderDxfId="38">
  <autoFilter ref="B87:I99" xr:uid="{BA680C9B-2EF5-4D76-B11E-E10E57709C0A}"/>
  <tableColumns count="8">
    <tableColumn id="1" xr3:uid="{BF986447-8E26-4339-9AC4-318C455E318A}" name="Component" dataDxfId="37">
      <calculatedColumnFormula>IF(B15="","",B15)</calculatedColumnFormula>
    </tableColumn>
    <tableColumn id="2" xr3:uid="{3F250067-3389-47FB-9E82-D4E39A20858F}" name="Product" dataDxfId="36">
      <calculatedColumnFormula>IF(C15="","",C15)</calculatedColumnFormula>
    </tableColumn>
    <tableColumn id="3" xr3:uid="{ACEA68FF-2DBE-4630-BA28-6822CE19841E}" name="Customer" dataDxfId="35">
      <calculatedColumnFormula>IF(D15="","",D15)</calculatedColumnFormula>
    </tableColumn>
    <tableColumn id="4" xr3:uid="{CF20FAF6-1C22-4EE6-BBA5-30C9DDBC5DE5}" name="Environment" dataDxfId="34">
      <calculatedColumnFormula>IF(E15="","",E15)</calculatedColumnFormula>
    </tableColumn>
    <tableColumn id="5" xr3:uid="{2283E8FD-E866-40E1-A877-49CFB2C292D1}" name="Rule name" dataDxfId="33">
      <calculatedColumnFormula>IF(Table36813[[#This Row],[Product]]="","",IF(Table36813[[#This Row],[Component]]="","",Table36813[[#This Row],[Component]]&amp;"-")&amp;Table36813[[#This Row],[Product]]&amp;"-"&amp;Table36813[[#This Row],[Customer]]&amp;"-"&amp;Table36813[[#This Row],[Environment]]&amp;"-redirect-routing-rule")</calculatedColumnFormula>
    </tableColumn>
    <tableColumn id="12" xr3:uid="{641242BF-B38F-428E-8D37-ED0ECCFEDCD0}" name="Priority" dataDxfId="32"/>
    <tableColumn id="11" xr3:uid="{9CA34A70-9951-4018-BA46-327AEA57DB9A}" name="Listener" dataDxfId="31">
      <calculatedColumnFormula>IF(Table36813[[#This Row],[Product]]="","",IF(Table36813[[#This Row],[Component]]="","",Table36813[[#This Row],[Component]]&amp;"-")&amp;Table36813[[#This Row],[Product]]&amp;"-"&amp;Table36813[[#This Row],[Customer]]&amp;"-"&amp;Table36813[[#This Row],[Environment]]&amp;"-http-listener")</calculatedColumnFormula>
    </tableColumn>
    <tableColumn id="6" xr3:uid="{27203EFD-B730-4B87-AA29-C4B0FF1D3BDC}" name="Target Listener  (https)" dataDxfId="30">
      <calculatedColumnFormula>IF(Table36813[[#This Row],[Product]]="","",IF(Table36813[[#This Row],[Component]]="","",Table36813[[#This Row],[Component]]&amp;"-")&amp;Table36813[[#This Row],[Product]]&amp;"-"&amp;Table36813[[#This Row],[Customer]]&amp;"-"&amp;Table36813[[#This Row],[Environment]]&amp;"-https-listener")</calculatedColumnFormula>
    </tableColumn>
  </tableColumns>
  <tableStyleInfo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CACB2C2-B019-4338-920C-4454A06B6280}" name="Table311" displayName="Table311" ref="B33:G45" totalsRowShown="0" headerRowDxfId="29" dataDxfId="27" headerRowBorderDxfId="28" tableBorderDxfId="26" totalsRowBorderDxfId="25">
  <autoFilter ref="B33:G45" xr:uid="{BF0693DA-73B8-4050-94E9-FDCC093AE14D}">
    <filterColumn colId="0" hiddenButton="1"/>
    <filterColumn colId="1" hiddenButton="1"/>
    <filterColumn colId="2" hiddenButton="1"/>
    <filterColumn colId="3" hiddenButton="1"/>
    <filterColumn colId="4" hiddenButton="1"/>
    <filterColumn colId="5" hiddenButton="1"/>
  </autoFilter>
  <tableColumns count="6">
    <tableColumn id="1" xr3:uid="{5CD8AFF0-0185-4D49-82DA-12004848B499}" name="Component" dataDxfId="24">
      <calculatedColumnFormula>IF(B15="","",B15)</calculatedColumnFormula>
    </tableColumn>
    <tableColumn id="2" xr3:uid="{87F5C208-95EA-469B-8133-791D156BB615}" name="Product" dataDxfId="23">
      <calculatedColumnFormula>IF(C15="","",C15)</calculatedColumnFormula>
    </tableColumn>
    <tableColumn id="3" xr3:uid="{4F087501-4D84-4A22-9A23-F953585A3F00}" name="Customer" dataDxfId="22">
      <calculatedColumnFormula>IF(D15="","",D15)</calculatedColumnFormula>
    </tableColumn>
    <tableColumn id="4" xr3:uid="{60B423EC-539C-4D98-A8DA-D99FBB4D22BE}" name="Environment" dataDxfId="21">
      <calculatedColumnFormula>IF(E15="","",E15)</calculatedColumnFormula>
    </tableColumn>
    <tableColumn id="5" xr3:uid="{8C7A4EE0-B798-4498-B534-DEB5B1F95354}" name="https Listener" dataDxfId="20">
      <calculatedColumnFormula>IF(Table311[[#This Row],[Product]]="","",IF(Table311[[#This Row],[Component]]="","",Table311[[#This Row],[Component]]&amp;"-")&amp;Table311[[#This Row],[Product]]&amp;"-"&amp;Table311[[#This Row],[Customer]]&amp;"-"&amp;Table311[[#This Row],[Environment]]&amp;"-https-listener")</calculatedColumnFormula>
    </tableColumn>
    <tableColumn id="8" xr3:uid="{A42381EE-7AE7-4875-B490-8158C677FFF1}" name="Host name" dataDxfId="19">
      <calculatedColumnFormula>IF(Table311[[#This Row],[Product]]="","",IF(Table311[[#This Row],[Component]]="","",Table311[[#This Row],[Component]]&amp;"-")&amp;Table311[[#This Row],[Product]]&amp;"-"&amp;Table311[[#This Row],[Customer]]&amp;IF(Table311[[#This Row],[Environment]]="prod","","-"&amp;Table311[[#This Row],[Environment]])&amp;"."&amp;$D$30)</calculatedColumnFormula>
    </tableColumn>
  </tableColumns>
  <tableStyleInfo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D093E86-021D-411A-8AEC-BC2B11CD38F2}" name="Table31114" displayName="Table31114" ref="B52:G64" totalsRowShown="0" headerRowDxfId="18" dataDxfId="16" headerRowBorderDxfId="17" tableBorderDxfId="15" totalsRowBorderDxfId="14">
  <autoFilter ref="B52:G64" xr:uid="{6C124476-28C5-460E-820F-27AED882857D}"/>
  <tableColumns count="6">
    <tableColumn id="1" xr3:uid="{39382406-A6DA-4013-8037-475695B9902B}" name="Component" dataDxfId="13">
      <calculatedColumnFormula>IF(B15="","",B15)</calculatedColumnFormula>
    </tableColumn>
    <tableColumn id="2" xr3:uid="{01208605-6658-42B9-B288-208FE4D15AEB}" name="Product" dataDxfId="12">
      <calculatedColumnFormula>IF(C15="","",C15)</calculatedColumnFormula>
    </tableColumn>
    <tableColumn id="3" xr3:uid="{F9629695-ED28-4771-9041-250CAD514EEC}" name="Customer" dataDxfId="11">
      <calculatedColumnFormula>IF(D15="","",D15)</calculatedColumnFormula>
    </tableColumn>
    <tableColumn id="4" xr3:uid="{5CA4F802-E48B-41EB-9B65-4E07F7BE381B}" name="Environment" dataDxfId="10">
      <calculatedColumnFormula>IF(E15="","",E15)</calculatedColumnFormula>
    </tableColumn>
    <tableColumn id="6" xr3:uid="{E4EC38D3-8397-4EAD-BA37-12EBD5F6BAA2}" name="http Listener" dataDxfId="9">
      <calculatedColumnFormula>IF(Table31114[[#This Row],[Product]]="","",IF(Table31114[[#This Row],[Component]]="","",Table31114[[#This Row],[Component]]&amp;"-")&amp;Table31114[[#This Row],[Product]]&amp;"-"&amp;Table31114[[#This Row],[Customer]]&amp;"-"&amp;Table31114[[#This Row],[Environment]]&amp;"-http-listener")</calculatedColumnFormula>
    </tableColumn>
    <tableColumn id="8" xr3:uid="{1EC60B9F-16E7-484C-BBF1-9BFC754BFC19}" name="Host name" dataDxfId="8">
      <calculatedColumnFormula>IF(Table31114[[#This Row],[Product]]="","",IF(Table31114[[#This Row],[Component]]="","",Table31114[[#This Row],[Component]]&amp;"-")&amp;Table31114[[#This Row],[Product]]&amp;"-"&amp;Table31114[[#This Row],[Customer]]&amp;IF(Table31114[[#This Row],[Environment]]="prod","","-"&amp;Table31114[[#This Row],[Environment]])&amp;"."&amp;$D$30)</calculatedColumnFormula>
    </tableColumn>
  </tableColumns>
  <tableStyleInfo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_query" displayName="Table_query" ref="A1:F15" tableType="queryTable" totalsRowShown="0" headerRowDxfId="7" dataDxfId="6">
  <autoFilter ref="A1:F15" xr:uid="{00000000-0009-0000-0100-000001000000}"/>
  <tableColumns count="6">
    <tableColumn id="1" xr3:uid="{00000000-0010-0000-0200-000001000000}" uniqueName="Title" name="Title" queryTableFieldId="1" dataDxfId="5"/>
    <tableColumn id="2" xr3:uid="{00000000-0010-0000-0200-000002000000}" uniqueName="Name" name="Name" queryTableFieldId="4" dataDxfId="4"/>
    <tableColumn id="3" xr3:uid="{00000000-0010-0000-0200-000003000000}" uniqueName="SubscriptionID" name="SubscriptionID" queryTableFieldId="5" dataDxfId="3"/>
    <tableColumn id="4" xr3:uid="{00000000-0010-0000-0200-000004000000}" uniqueName="Fees" name="Fees" queryTableFieldId="6" dataDxfId="2"/>
    <tableColumn id="5" xr3:uid="{00000000-0010-0000-0200-000005000000}" uniqueName="FSObjType" name="Item Type" queryTableFieldId="3" dataDxfId="1"/>
    <tableColumn id="6" xr3:uid="{00000000-0010-0000-0200-000006000000}" uniqueName="FileDirRef" name="Path" queryTableFieldId="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hyperlink" Target="mailto:melissa.parot@suez.com" TargetMode="External"/><Relationship Id="rId7" Type="http://schemas.openxmlformats.org/officeDocument/2006/relationships/vmlDrawing" Target="../drawings/vmlDrawing3.vml"/><Relationship Id="rId2" Type="http://schemas.openxmlformats.org/officeDocument/2006/relationships/hyperlink" Target="mailto:eddy.moren@suez.com" TargetMode="External"/><Relationship Id="rId1" Type="http://schemas.openxmlformats.org/officeDocument/2006/relationships/hyperlink" Target="mailto:eddy.moren@suez.com" TargetMode="External"/><Relationship Id="rId6" Type="http://schemas.openxmlformats.org/officeDocument/2006/relationships/drawing" Target="../drawings/drawing3.xml"/><Relationship Id="rId5" Type="http://schemas.openxmlformats.org/officeDocument/2006/relationships/printerSettings" Target="../printerSettings/printerSettings3.bin"/><Relationship Id="rId10" Type="http://schemas.openxmlformats.org/officeDocument/2006/relationships/table" Target="../tables/table2.xml"/><Relationship Id="rId4" Type="http://schemas.openxmlformats.org/officeDocument/2006/relationships/hyperlink" Target="mailto:nicolas.belpois@suez.com" TargetMode="Externa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table" Target="../tables/table5.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table" Target="../tables/table6.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printerSettings" Target="../printerSettings/printerSettings1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541A3-2842-40CC-93C1-856F3E56412D}">
  <sheetPr codeName="Home">
    <tabColor rgb="FFC00000"/>
  </sheetPr>
  <dimension ref="A1:N24"/>
  <sheetViews>
    <sheetView showGridLines="0" workbookViewId="0">
      <pane ySplit="8" topLeftCell="A9" activePane="bottomLeft" state="frozen"/>
      <selection activeCell="B3" sqref="B3:D3"/>
      <selection pane="bottomLeft" activeCell="B3" sqref="B3:D3"/>
    </sheetView>
  </sheetViews>
  <sheetFormatPr defaultColWidth="9.109375" defaultRowHeight="12" x14ac:dyDescent="0.25"/>
  <cols>
    <col min="1" max="1" width="17.109375" style="1" customWidth="1"/>
    <col min="2" max="2" width="30.6640625" style="1" bestFit="1" customWidth="1"/>
    <col min="3" max="3" width="30.109375" style="1" customWidth="1"/>
    <col min="4" max="4" width="1.88671875" style="1" customWidth="1"/>
    <col min="5" max="16384" width="9.109375" style="1"/>
  </cols>
  <sheetData>
    <row r="1" spans="1:14" ht="15.6" x14ac:dyDescent="0.3">
      <c r="A1" s="39" t="s">
        <v>153</v>
      </c>
    </row>
    <row r="2" spans="1:14" x14ac:dyDescent="0.25">
      <c r="N2" s="44" t="s">
        <v>154</v>
      </c>
    </row>
    <row r="3" spans="1:14" x14ac:dyDescent="0.25">
      <c r="N3" s="45" t="s">
        <v>155</v>
      </c>
    </row>
    <row r="4" spans="1:14" x14ac:dyDescent="0.25">
      <c r="N4" s="45" t="s">
        <v>156</v>
      </c>
    </row>
    <row r="9" spans="1:14" x14ac:dyDescent="0.25">
      <c r="A9" s="16" t="s">
        <v>149</v>
      </c>
      <c r="B9" s="15" t="s">
        <v>150</v>
      </c>
      <c r="C9" s="14" t="s">
        <v>44</v>
      </c>
      <c r="D9" s="15" t="s">
        <v>84</v>
      </c>
    </row>
    <row r="10" spans="1:14" x14ac:dyDescent="0.25">
      <c r="A10" s="13" t="s">
        <v>55</v>
      </c>
      <c r="B10" s="5" t="s">
        <v>152</v>
      </c>
      <c r="C10" s="84" t="s">
        <v>146</v>
      </c>
      <c r="D10" s="32" t="str">
        <f>IF(Table_Home[[#This Row],[Script]]="","",".")</f>
        <v>.</v>
      </c>
    </row>
    <row r="11" spans="1:14" x14ac:dyDescent="0.25">
      <c r="A11" s="10" t="s">
        <v>55</v>
      </c>
      <c r="B11" s="8" t="s">
        <v>151</v>
      </c>
      <c r="C11" s="85" t="s">
        <v>145</v>
      </c>
      <c r="D11" s="33" t="str">
        <f>IF(Table_Home[[#This Row],[Script]]="","",".")</f>
        <v>.</v>
      </c>
    </row>
    <row r="12" spans="1:14" x14ac:dyDescent="0.25">
      <c r="A12" s="10" t="s">
        <v>165</v>
      </c>
      <c r="B12" s="8" t="s">
        <v>166</v>
      </c>
      <c r="C12" s="85" t="s">
        <v>163</v>
      </c>
      <c r="D12" s="33" t="str">
        <f>IF(Table_Home[[#This Row],[Script]]="","",".")</f>
        <v>.</v>
      </c>
    </row>
    <row r="13" spans="1:14" x14ac:dyDescent="0.25">
      <c r="A13" s="13" t="s">
        <v>165</v>
      </c>
      <c r="B13" s="86" t="s">
        <v>164</v>
      </c>
      <c r="C13" s="87" t="s">
        <v>167</v>
      </c>
      <c r="D13" s="33" t="str">
        <f>IF(Table_Home[[#This Row],[Script]]="","",".")</f>
        <v>.</v>
      </c>
    </row>
    <row r="14" spans="1:14" x14ac:dyDescent="0.25">
      <c r="A14" s="13"/>
      <c r="B14" s="86"/>
      <c r="C14" s="87"/>
      <c r="D14" s="33" t="str">
        <f>IF(Table_Home[[#This Row],[Script]]="","",".")</f>
        <v/>
      </c>
    </row>
    <row r="15" spans="1:14" x14ac:dyDescent="0.25">
      <c r="A15" s="13"/>
      <c r="B15" s="86"/>
      <c r="C15" s="87"/>
      <c r="D15" s="33" t="str">
        <f>IF(Table_Home[[#This Row],[Script]]="","",".")</f>
        <v/>
      </c>
    </row>
    <row r="16" spans="1:14" x14ac:dyDescent="0.25">
      <c r="A16" s="13"/>
      <c r="B16" s="86"/>
      <c r="C16" s="87"/>
      <c r="D16" s="33" t="str">
        <f>IF(Table_Home[[#This Row],[Script]]="","",".")</f>
        <v/>
      </c>
    </row>
    <row r="17" spans="1:4" x14ac:dyDescent="0.25">
      <c r="A17" s="13"/>
      <c r="B17" s="86"/>
      <c r="C17" s="87"/>
      <c r="D17" s="33" t="str">
        <f>IF(Table_Home[[#This Row],[Script]]="","",".")</f>
        <v/>
      </c>
    </row>
    <row r="18" spans="1:4" x14ac:dyDescent="0.25">
      <c r="A18" s="10"/>
      <c r="B18" s="8"/>
      <c r="C18" s="85"/>
      <c r="D18" s="34" t="str">
        <f>IF(Table_Home[[#This Row],[Script]]="","",".")</f>
        <v/>
      </c>
    </row>
    <row r="24" spans="1:4" x14ac:dyDescent="0.25">
      <c r="C24" s="1" t="s">
        <v>82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Home.CopyGeneralScript">
                <anchor moveWithCells="1" sizeWithCells="1">
                  <from>
                    <xdr:col>9</xdr:col>
                    <xdr:colOff>441960</xdr:colOff>
                    <xdr:row>5</xdr:row>
                    <xdr:rowOff>22860</xdr:rowOff>
                  </from>
                  <to>
                    <xdr:col>10</xdr:col>
                    <xdr:colOff>594360</xdr:colOff>
                    <xdr:row>6</xdr:row>
                    <xdr:rowOff>152400</xdr:rowOff>
                  </to>
                </anchor>
              </controlPr>
            </control>
          </mc:Choice>
        </mc:AlternateContent>
        <mc:AlternateContent xmlns:mc="http://schemas.openxmlformats.org/markup-compatibility/2006">
          <mc:Choice Requires="x14">
            <control shapeId="17410" r:id="rId5" name="Button 2">
              <controlPr defaultSize="0" print="0" autoFill="0" autoPict="0" macro="[0]!Home.Execute">
                <anchor moveWithCells="1" sizeWithCells="1">
                  <from>
                    <xdr:col>9</xdr:col>
                    <xdr:colOff>449580</xdr:colOff>
                    <xdr:row>1</xdr:row>
                    <xdr:rowOff>38100</xdr:rowOff>
                  </from>
                  <to>
                    <xdr:col>10</xdr:col>
                    <xdr:colOff>579120</xdr:colOff>
                    <xdr:row>3</xdr:row>
                    <xdr:rowOff>30480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8334-24C3-433D-B85F-CC7F6817D65A}">
  <sheetPr codeName="Execute">
    <tabColor theme="9" tint="-0.249977111117893"/>
  </sheetPr>
  <dimension ref="A1:I319"/>
  <sheetViews>
    <sheetView showGridLines="0" workbookViewId="0">
      <selection activeCell="B3" sqref="B3:D3"/>
    </sheetView>
  </sheetViews>
  <sheetFormatPr defaultColWidth="8.88671875" defaultRowHeight="12" x14ac:dyDescent="0.25"/>
  <cols>
    <col min="1" max="1" width="13.5546875" style="1" customWidth="1"/>
    <col min="2" max="2" width="16.6640625" style="1" bestFit="1" customWidth="1"/>
    <col min="3" max="6" width="8.88671875" style="1"/>
    <col min="7" max="7" width="160.109375" style="1" customWidth="1"/>
    <col min="8" max="16384" width="8.88671875" style="1"/>
  </cols>
  <sheetData>
    <row r="1" spans="1:9" ht="15.6" x14ac:dyDescent="0.3">
      <c r="A1" s="39" t="s">
        <v>197</v>
      </c>
      <c r="G1" s="105" t="str">
        <f>"Result - "&amp;LEN(G2)&amp;" characters"</f>
        <v>Result - 3876 characters</v>
      </c>
    </row>
    <row r="2" spans="1:9" x14ac:dyDescent="0.25">
      <c r="A2" s="4"/>
      <c r="B2" s="157" t="s">
        <v>200</v>
      </c>
      <c r="C2" s="158"/>
      <c r="D2" s="158"/>
      <c r="E2" s="159"/>
      <c r="G2" s="154" t="s">
        <v>300</v>
      </c>
      <c r="I2" s="1" t="s">
        <v>199</v>
      </c>
    </row>
    <row r="3" spans="1:9" x14ac:dyDescent="0.25">
      <c r="A3" s="4" t="s">
        <v>195</v>
      </c>
      <c r="B3" s="157" t="s">
        <v>304</v>
      </c>
      <c r="C3" s="158"/>
      <c r="D3" s="158"/>
      <c r="E3" s="159"/>
      <c r="G3" s="155"/>
      <c r="I3" s="1" t="s">
        <v>200</v>
      </c>
    </row>
    <row r="4" spans="1:9" x14ac:dyDescent="0.25">
      <c r="A4" s="4" t="s">
        <v>196</v>
      </c>
      <c r="B4" s="157" t="s">
        <v>198</v>
      </c>
      <c r="C4" s="158"/>
      <c r="D4" s="158"/>
      <c r="E4" s="159"/>
      <c r="G4" s="155"/>
    </row>
    <row r="5" spans="1:9" x14ac:dyDescent="0.25">
      <c r="G5" s="155"/>
    </row>
    <row r="6" spans="1:9" x14ac:dyDescent="0.25">
      <c r="G6" s="155"/>
    </row>
    <row r="7" spans="1:9" x14ac:dyDescent="0.25">
      <c r="G7" s="155"/>
    </row>
    <row r="8" spans="1:9" x14ac:dyDescent="0.25">
      <c r="G8" s="155"/>
    </row>
    <row r="9" spans="1:9" x14ac:dyDescent="0.25">
      <c r="G9" s="155"/>
    </row>
    <row r="10" spans="1:9" x14ac:dyDescent="0.25">
      <c r="G10" s="155"/>
    </row>
    <row r="11" spans="1:9" x14ac:dyDescent="0.25">
      <c r="G11" s="155"/>
    </row>
    <row r="12" spans="1:9" x14ac:dyDescent="0.25">
      <c r="G12" s="155"/>
    </row>
    <row r="13" spans="1:9" x14ac:dyDescent="0.25">
      <c r="G13" s="155"/>
    </row>
    <row r="14" spans="1:9" x14ac:dyDescent="0.25">
      <c r="G14" s="155"/>
    </row>
    <row r="15" spans="1:9" x14ac:dyDescent="0.25">
      <c r="G15" s="155"/>
    </row>
    <row r="16" spans="1:9" x14ac:dyDescent="0.25">
      <c r="G16" s="155"/>
    </row>
    <row r="17" spans="7:7" ht="14.4" customHeight="1" x14ac:dyDescent="0.25">
      <c r="G17" s="155"/>
    </row>
    <row r="18" spans="7:7" x14ac:dyDescent="0.25">
      <c r="G18" s="155"/>
    </row>
    <row r="19" spans="7:7" x14ac:dyDescent="0.25">
      <c r="G19" s="155"/>
    </row>
    <row r="20" spans="7:7" x14ac:dyDescent="0.25">
      <c r="G20" s="155"/>
    </row>
    <row r="21" spans="7:7" x14ac:dyDescent="0.25">
      <c r="G21" s="155"/>
    </row>
    <row r="22" spans="7:7" x14ac:dyDescent="0.25">
      <c r="G22" s="155"/>
    </row>
    <row r="23" spans="7:7" x14ac:dyDescent="0.25">
      <c r="G23" s="155"/>
    </row>
    <row r="24" spans="7:7" x14ac:dyDescent="0.25">
      <c r="G24" s="155"/>
    </row>
    <row r="25" spans="7:7" x14ac:dyDescent="0.25">
      <c r="G25" s="155"/>
    </row>
    <row r="26" spans="7:7" x14ac:dyDescent="0.25">
      <c r="G26" s="155"/>
    </row>
    <row r="27" spans="7:7" x14ac:dyDescent="0.25">
      <c r="G27" s="155"/>
    </row>
    <row r="28" spans="7:7" x14ac:dyDescent="0.25">
      <c r="G28" s="155"/>
    </row>
    <row r="29" spans="7:7" x14ac:dyDescent="0.25">
      <c r="G29" s="155"/>
    </row>
    <row r="30" spans="7:7" x14ac:dyDescent="0.25">
      <c r="G30" s="155"/>
    </row>
    <row r="31" spans="7:7" x14ac:dyDescent="0.25">
      <c r="G31" s="155"/>
    </row>
    <row r="32" spans="7:7" x14ac:dyDescent="0.25">
      <c r="G32" s="155"/>
    </row>
    <row r="33" spans="7:7" x14ac:dyDescent="0.25">
      <c r="G33" s="155"/>
    </row>
    <row r="34" spans="7:7" x14ac:dyDescent="0.25">
      <c r="G34" s="155"/>
    </row>
    <row r="35" spans="7:7" x14ac:dyDescent="0.25">
      <c r="G35" s="155"/>
    </row>
    <row r="36" spans="7:7" x14ac:dyDescent="0.25">
      <c r="G36" s="155"/>
    </row>
    <row r="37" spans="7:7" x14ac:dyDescent="0.25">
      <c r="G37" s="155"/>
    </row>
    <row r="38" spans="7:7" x14ac:dyDescent="0.25">
      <c r="G38" s="155"/>
    </row>
    <row r="39" spans="7:7" x14ac:dyDescent="0.25">
      <c r="G39" s="155"/>
    </row>
    <row r="40" spans="7:7" x14ac:dyDescent="0.25">
      <c r="G40" s="155"/>
    </row>
    <row r="41" spans="7:7" x14ac:dyDescent="0.25">
      <c r="G41" s="155"/>
    </row>
    <row r="42" spans="7:7" x14ac:dyDescent="0.25">
      <c r="G42" s="155"/>
    </row>
    <row r="43" spans="7:7" x14ac:dyDescent="0.25">
      <c r="G43" s="155"/>
    </row>
    <row r="44" spans="7:7" x14ac:dyDescent="0.25">
      <c r="G44" s="155"/>
    </row>
    <row r="45" spans="7:7" x14ac:dyDescent="0.25">
      <c r="G45" s="155"/>
    </row>
    <row r="46" spans="7:7" x14ac:dyDescent="0.25">
      <c r="G46" s="155"/>
    </row>
    <row r="47" spans="7:7" x14ac:dyDescent="0.25">
      <c r="G47" s="155"/>
    </row>
    <row r="48" spans="7:7" x14ac:dyDescent="0.25">
      <c r="G48" s="155"/>
    </row>
    <row r="49" spans="7:7" x14ac:dyDescent="0.25">
      <c r="G49" s="155"/>
    </row>
    <row r="50" spans="7:7" x14ac:dyDescent="0.25">
      <c r="G50" s="155"/>
    </row>
    <row r="51" spans="7:7" x14ac:dyDescent="0.25">
      <c r="G51" s="155"/>
    </row>
    <row r="52" spans="7:7" x14ac:dyDescent="0.25">
      <c r="G52" s="155"/>
    </row>
    <row r="53" spans="7:7" x14ac:dyDescent="0.25">
      <c r="G53" s="155"/>
    </row>
    <row r="54" spans="7:7" x14ac:dyDescent="0.25">
      <c r="G54" s="155"/>
    </row>
    <row r="55" spans="7:7" x14ac:dyDescent="0.25">
      <c r="G55" s="155"/>
    </row>
    <row r="56" spans="7:7" x14ac:dyDescent="0.25">
      <c r="G56" s="155"/>
    </row>
    <row r="57" spans="7:7" x14ac:dyDescent="0.25">
      <c r="G57" s="155"/>
    </row>
    <row r="58" spans="7:7" x14ac:dyDescent="0.25">
      <c r="G58" s="155"/>
    </row>
    <row r="59" spans="7:7" x14ac:dyDescent="0.25">
      <c r="G59" s="155"/>
    </row>
    <row r="60" spans="7:7" x14ac:dyDescent="0.25">
      <c r="G60" s="155"/>
    </row>
    <row r="61" spans="7:7" x14ac:dyDescent="0.25">
      <c r="G61" s="155"/>
    </row>
    <row r="62" spans="7:7" x14ac:dyDescent="0.25">
      <c r="G62" s="155"/>
    </row>
    <row r="63" spans="7:7" x14ac:dyDescent="0.25">
      <c r="G63" s="155"/>
    </row>
    <row r="64" spans="7:7" x14ac:dyDescent="0.25">
      <c r="G64" s="155"/>
    </row>
    <row r="65" spans="1:7" x14ac:dyDescent="0.25">
      <c r="G65" s="155"/>
    </row>
    <row r="66" spans="1:7" x14ac:dyDescent="0.25">
      <c r="G66" s="155"/>
    </row>
    <row r="67" spans="1:7" x14ac:dyDescent="0.25">
      <c r="G67" s="155"/>
    </row>
    <row r="68" spans="1:7" x14ac:dyDescent="0.25">
      <c r="G68" s="155"/>
    </row>
    <row r="69" spans="1:7" x14ac:dyDescent="0.25">
      <c r="G69" s="155"/>
    </row>
    <row r="70" spans="1:7" x14ac:dyDescent="0.25">
      <c r="G70" s="155"/>
    </row>
    <row r="71" spans="1:7" ht="409.6" x14ac:dyDescent="0.25">
      <c r="A71" s="153" t="s">
        <v>301</v>
      </c>
      <c r="G71" s="155"/>
    </row>
    <row r="72" spans="1:7" x14ac:dyDescent="0.25">
      <c r="G72" s="155"/>
    </row>
    <row r="73" spans="1:7" x14ac:dyDescent="0.25">
      <c r="G73" s="155"/>
    </row>
    <row r="74" spans="1:7" x14ac:dyDescent="0.25">
      <c r="G74" s="155"/>
    </row>
    <row r="75" spans="1:7" x14ac:dyDescent="0.25">
      <c r="G75" s="155"/>
    </row>
    <row r="76" spans="1:7" x14ac:dyDescent="0.25">
      <c r="G76" s="155"/>
    </row>
    <row r="77" spans="1:7" x14ac:dyDescent="0.25">
      <c r="G77" s="155"/>
    </row>
    <row r="78" spans="1:7" x14ac:dyDescent="0.25">
      <c r="G78" s="155"/>
    </row>
    <row r="79" spans="1:7" x14ac:dyDescent="0.25">
      <c r="G79" s="155"/>
    </row>
    <row r="80" spans="1:7" x14ac:dyDescent="0.25">
      <c r="G80" s="155"/>
    </row>
    <row r="81" spans="7:7" x14ac:dyDescent="0.25">
      <c r="G81" s="155"/>
    </row>
    <row r="82" spans="7:7" x14ac:dyDescent="0.25">
      <c r="G82" s="155"/>
    </row>
    <row r="83" spans="7:7" x14ac:dyDescent="0.25">
      <c r="G83" s="155"/>
    </row>
    <row r="84" spans="7:7" x14ac:dyDescent="0.25">
      <c r="G84" s="155"/>
    </row>
    <row r="85" spans="7:7" x14ac:dyDescent="0.25">
      <c r="G85" s="155"/>
    </row>
    <row r="86" spans="7:7" x14ac:dyDescent="0.25">
      <c r="G86" s="155"/>
    </row>
    <row r="87" spans="7:7" x14ac:dyDescent="0.25">
      <c r="G87" s="155"/>
    </row>
    <row r="88" spans="7:7" x14ac:dyDescent="0.25">
      <c r="G88" s="155"/>
    </row>
    <row r="89" spans="7:7" x14ac:dyDescent="0.25">
      <c r="G89" s="155"/>
    </row>
    <row r="90" spans="7:7" x14ac:dyDescent="0.25">
      <c r="G90" s="155"/>
    </row>
    <row r="91" spans="7:7" x14ac:dyDescent="0.25">
      <c r="G91" s="155"/>
    </row>
    <row r="92" spans="7:7" x14ac:dyDescent="0.25">
      <c r="G92" s="155"/>
    </row>
    <row r="93" spans="7:7" x14ac:dyDescent="0.25">
      <c r="G93" s="155"/>
    </row>
    <row r="94" spans="7:7" x14ac:dyDescent="0.25">
      <c r="G94" s="155"/>
    </row>
    <row r="95" spans="7:7" x14ac:dyDescent="0.25">
      <c r="G95" s="155"/>
    </row>
    <row r="96" spans="7:7" x14ac:dyDescent="0.25">
      <c r="G96" s="155"/>
    </row>
    <row r="97" spans="7:7" x14ac:dyDescent="0.25">
      <c r="G97" s="155"/>
    </row>
    <row r="98" spans="7:7" x14ac:dyDescent="0.25">
      <c r="G98" s="155"/>
    </row>
    <row r="99" spans="7:7" x14ac:dyDescent="0.25">
      <c r="G99" s="155"/>
    </row>
    <row r="100" spans="7:7" x14ac:dyDescent="0.25">
      <c r="G100" s="155"/>
    </row>
    <row r="101" spans="7:7" x14ac:dyDescent="0.25">
      <c r="G101" s="155"/>
    </row>
    <row r="102" spans="7:7" x14ac:dyDescent="0.25">
      <c r="G102" s="155"/>
    </row>
    <row r="103" spans="7:7" x14ac:dyDescent="0.25">
      <c r="G103" s="155"/>
    </row>
    <row r="104" spans="7:7" x14ac:dyDescent="0.25">
      <c r="G104" s="155"/>
    </row>
    <row r="105" spans="7:7" x14ac:dyDescent="0.25">
      <c r="G105" s="155"/>
    </row>
    <row r="106" spans="7:7" x14ac:dyDescent="0.25">
      <c r="G106" s="155"/>
    </row>
    <row r="107" spans="7:7" x14ac:dyDescent="0.25">
      <c r="G107" s="155"/>
    </row>
    <row r="108" spans="7:7" x14ac:dyDescent="0.25">
      <c r="G108" s="155"/>
    </row>
    <row r="109" spans="7:7" x14ac:dyDescent="0.25">
      <c r="G109" s="155"/>
    </row>
    <row r="110" spans="7:7" x14ac:dyDescent="0.25">
      <c r="G110" s="155"/>
    </row>
    <row r="111" spans="7:7" x14ac:dyDescent="0.25">
      <c r="G111" s="155"/>
    </row>
    <row r="112" spans="7:7" x14ac:dyDescent="0.25">
      <c r="G112" s="155"/>
    </row>
    <row r="113" spans="7:7" x14ac:dyDescent="0.25">
      <c r="G113" s="155"/>
    </row>
    <row r="114" spans="7:7" x14ac:dyDescent="0.25">
      <c r="G114" s="155"/>
    </row>
    <row r="115" spans="7:7" x14ac:dyDescent="0.25">
      <c r="G115" s="155"/>
    </row>
    <row r="116" spans="7:7" x14ac:dyDescent="0.25">
      <c r="G116" s="155"/>
    </row>
    <row r="117" spans="7:7" x14ac:dyDescent="0.25">
      <c r="G117" s="155"/>
    </row>
    <row r="118" spans="7:7" x14ac:dyDescent="0.25">
      <c r="G118" s="155"/>
    </row>
    <row r="119" spans="7:7" x14ac:dyDescent="0.25">
      <c r="G119" s="155"/>
    </row>
    <row r="120" spans="7:7" x14ac:dyDescent="0.25">
      <c r="G120" s="155"/>
    </row>
    <row r="121" spans="7:7" x14ac:dyDescent="0.25">
      <c r="G121" s="155"/>
    </row>
    <row r="122" spans="7:7" x14ac:dyDescent="0.25">
      <c r="G122" s="155"/>
    </row>
    <row r="123" spans="7:7" x14ac:dyDescent="0.25">
      <c r="G123" s="155"/>
    </row>
    <row r="124" spans="7:7" x14ac:dyDescent="0.25">
      <c r="G124" s="155"/>
    </row>
    <row r="125" spans="7:7" x14ac:dyDescent="0.25">
      <c r="G125" s="155"/>
    </row>
    <row r="126" spans="7:7" x14ac:dyDescent="0.25">
      <c r="G126" s="155"/>
    </row>
    <row r="127" spans="7:7" x14ac:dyDescent="0.25">
      <c r="G127" s="155"/>
    </row>
    <row r="128" spans="7:7" x14ac:dyDescent="0.25">
      <c r="G128" s="155"/>
    </row>
    <row r="129" spans="7:7" x14ac:dyDescent="0.25">
      <c r="G129" s="155"/>
    </row>
    <row r="130" spans="7:7" x14ac:dyDescent="0.25">
      <c r="G130" s="155"/>
    </row>
    <row r="131" spans="7:7" x14ac:dyDescent="0.25">
      <c r="G131" s="155"/>
    </row>
    <row r="132" spans="7:7" x14ac:dyDescent="0.25">
      <c r="G132" s="155"/>
    </row>
    <row r="133" spans="7:7" x14ac:dyDescent="0.25">
      <c r="G133" s="155"/>
    </row>
    <row r="134" spans="7:7" x14ac:dyDescent="0.25">
      <c r="G134" s="155"/>
    </row>
    <row r="135" spans="7:7" x14ac:dyDescent="0.25">
      <c r="G135" s="155"/>
    </row>
    <row r="136" spans="7:7" x14ac:dyDescent="0.25">
      <c r="G136" s="155"/>
    </row>
    <row r="137" spans="7:7" x14ac:dyDescent="0.25">
      <c r="G137" s="155"/>
    </row>
    <row r="138" spans="7:7" x14ac:dyDescent="0.25">
      <c r="G138" s="155"/>
    </row>
    <row r="139" spans="7:7" x14ac:dyDescent="0.25">
      <c r="G139" s="155"/>
    </row>
    <row r="140" spans="7:7" x14ac:dyDescent="0.25">
      <c r="G140" s="155"/>
    </row>
    <row r="141" spans="7:7" x14ac:dyDescent="0.25">
      <c r="G141" s="155"/>
    </row>
    <row r="142" spans="7:7" x14ac:dyDescent="0.25">
      <c r="G142" s="155"/>
    </row>
    <row r="143" spans="7:7" x14ac:dyDescent="0.25">
      <c r="G143" s="155"/>
    </row>
    <row r="144" spans="7:7" x14ac:dyDescent="0.25">
      <c r="G144" s="155"/>
    </row>
    <row r="145" spans="7:7" x14ac:dyDescent="0.25">
      <c r="G145" s="155"/>
    </row>
    <row r="146" spans="7:7" x14ac:dyDescent="0.25">
      <c r="G146" s="155"/>
    </row>
    <row r="147" spans="7:7" x14ac:dyDescent="0.25">
      <c r="G147" s="155"/>
    </row>
    <row r="148" spans="7:7" x14ac:dyDescent="0.25">
      <c r="G148" s="155"/>
    </row>
    <row r="149" spans="7:7" x14ac:dyDescent="0.25">
      <c r="G149" s="155"/>
    </row>
    <row r="150" spans="7:7" x14ac:dyDescent="0.25">
      <c r="G150" s="155"/>
    </row>
    <row r="151" spans="7:7" x14ac:dyDescent="0.25">
      <c r="G151" s="155"/>
    </row>
    <row r="152" spans="7:7" x14ac:dyDescent="0.25">
      <c r="G152" s="155"/>
    </row>
    <row r="153" spans="7:7" x14ac:dyDescent="0.25">
      <c r="G153" s="155"/>
    </row>
    <row r="154" spans="7:7" x14ac:dyDescent="0.25">
      <c r="G154" s="155"/>
    </row>
    <row r="155" spans="7:7" x14ac:dyDescent="0.25">
      <c r="G155" s="155"/>
    </row>
    <row r="156" spans="7:7" x14ac:dyDescent="0.25">
      <c r="G156" s="155"/>
    </row>
    <row r="157" spans="7:7" x14ac:dyDescent="0.25">
      <c r="G157" s="155"/>
    </row>
    <row r="158" spans="7:7" x14ac:dyDescent="0.25">
      <c r="G158" s="155"/>
    </row>
    <row r="159" spans="7:7" x14ac:dyDescent="0.25">
      <c r="G159" s="155"/>
    </row>
    <row r="160" spans="7:7" x14ac:dyDescent="0.25">
      <c r="G160" s="155"/>
    </row>
    <row r="161" spans="7:7" x14ac:dyDescent="0.25">
      <c r="G161" s="155"/>
    </row>
    <row r="162" spans="7:7" x14ac:dyDescent="0.25">
      <c r="G162" s="155"/>
    </row>
    <row r="163" spans="7:7" x14ac:dyDescent="0.25">
      <c r="G163" s="155"/>
    </row>
    <row r="164" spans="7:7" x14ac:dyDescent="0.25">
      <c r="G164" s="155"/>
    </row>
    <row r="165" spans="7:7" x14ac:dyDescent="0.25">
      <c r="G165" s="155"/>
    </row>
    <row r="166" spans="7:7" x14ac:dyDescent="0.25">
      <c r="G166" s="155"/>
    </row>
    <row r="167" spans="7:7" x14ac:dyDescent="0.25">
      <c r="G167" s="155"/>
    </row>
    <row r="168" spans="7:7" x14ac:dyDescent="0.25">
      <c r="G168" s="155"/>
    </row>
    <row r="169" spans="7:7" x14ac:dyDescent="0.25">
      <c r="G169" s="155"/>
    </row>
    <row r="170" spans="7:7" x14ac:dyDescent="0.25">
      <c r="G170" s="155"/>
    </row>
    <row r="171" spans="7:7" x14ac:dyDescent="0.25">
      <c r="G171" s="155"/>
    </row>
    <row r="172" spans="7:7" x14ac:dyDescent="0.25">
      <c r="G172" s="155"/>
    </row>
    <row r="173" spans="7:7" x14ac:dyDescent="0.25">
      <c r="G173" s="155"/>
    </row>
    <row r="174" spans="7:7" x14ac:dyDescent="0.25">
      <c r="G174" s="155"/>
    </row>
    <row r="175" spans="7:7" x14ac:dyDescent="0.25">
      <c r="G175" s="155"/>
    </row>
    <row r="176" spans="7:7" x14ac:dyDescent="0.25">
      <c r="G176" s="155"/>
    </row>
    <row r="177" spans="7:7" x14ac:dyDescent="0.25">
      <c r="G177" s="155"/>
    </row>
    <row r="178" spans="7:7" x14ac:dyDescent="0.25">
      <c r="G178" s="155"/>
    </row>
    <row r="179" spans="7:7" x14ac:dyDescent="0.25">
      <c r="G179" s="155"/>
    </row>
    <row r="180" spans="7:7" x14ac:dyDescent="0.25">
      <c r="G180" s="155"/>
    </row>
    <row r="181" spans="7:7" x14ac:dyDescent="0.25">
      <c r="G181" s="155"/>
    </row>
    <row r="182" spans="7:7" x14ac:dyDescent="0.25">
      <c r="G182" s="155"/>
    </row>
    <row r="183" spans="7:7" x14ac:dyDescent="0.25">
      <c r="G183" s="155"/>
    </row>
    <row r="184" spans="7:7" x14ac:dyDescent="0.25">
      <c r="G184" s="155"/>
    </row>
    <row r="185" spans="7:7" x14ac:dyDescent="0.25">
      <c r="G185" s="155"/>
    </row>
    <row r="186" spans="7:7" x14ac:dyDescent="0.25">
      <c r="G186" s="155"/>
    </row>
    <row r="187" spans="7:7" x14ac:dyDescent="0.25">
      <c r="G187" s="155"/>
    </row>
    <row r="188" spans="7:7" x14ac:dyDescent="0.25">
      <c r="G188" s="155"/>
    </row>
    <row r="189" spans="7:7" x14ac:dyDescent="0.25">
      <c r="G189" s="155"/>
    </row>
    <row r="190" spans="7:7" x14ac:dyDescent="0.25">
      <c r="G190" s="155"/>
    </row>
    <row r="191" spans="7:7" x14ac:dyDescent="0.25">
      <c r="G191" s="155"/>
    </row>
    <row r="192" spans="7:7" x14ac:dyDescent="0.25">
      <c r="G192" s="155"/>
    </row>
    <row r="193" spans="7:7" x14ac:dyDescent="0.25">
      <c r="G193" s="155"/>
    </row>
    <row r="194" spans="7:7" x14ac:dyDescent="0.25">
      <c r="G194" s="155"/>
    </row>
    <row r="195" spans="7:7" x14ac:dyDescent="0.25">
      <c r="G195" s="155"/>
    </row>
    <row r="196" spans="7:7" x14ac:dyDescent="0.25">
      <c r="G196" s="155"/>
    </row>
    <row r="197" spans="7:7" x14ac:dyDescent="0.25">
      <c r="G197" s="155"/>
    </row>
    <row r="198" spans="7:7" x14ac:dyDescent="0.25">
      <c r="G198" s="155"/>
    </row>
    <row r="199" spans="7:7" x14ac:dyDescent="0.25">
      <c r="G199" s="155"/>
    </row>
    <row r="200" spans="7:7" x14ac:dyDescent="0.25">
      <c r="G200" s="155"/>
    </row>
    <row r="201" spans="7:7" x14ac:dyDescent="0.25">
      <c r="G201" s="155"/>
    </row>
    <row r="202" spans="7:7" x14ac:dyDescent="0.25">
      <c r="G202" s="155"/>
    </row>
    <row r="203" spans="7:7" x14ac:dyDescent="0.25">
      <c r="G203" s="155"/>
    </row>
    <row r="204" spans="7:7" x14ac:dyDescent="0.25">
      <c r="G204" s="155"/>
    </row>
    <row r="205" spans="7:7" x14ac:dyDescent="0.25">
      <c r="G205" s="155"/>
    </row>
    <row r="206" spans="7:7" x14ac:dyDescent="0.25">
      <c r="G206" s="155"/>
    </row>
    <row r="207" spans="7:7" x14ac:dyDescent="0.25">
      <c r="G207" s="155"/>
    </row>
    <row r="208" spans="7:7" x14ac:dyDescent="0.25">
      <c r="G208" s="155"/>
    </row>
    <row r="209" spans="7:7" x14ac:dyDescent="0.25">
      <c r="G209" s="155"/>
    </row>
    <row r="210" spans="7:7" x14ac:dyDescent="0.25">
      <c r="G210" s="155"/>
    </row>
    <row r="211" spans="7:7" x14ac:dyDescent="0.25">
      <c r="G211" s="155"/>
    </row>
    <row r="212" spans="7:7" x14ac:dyDescent="0.25">
      <c r="G212" s="155"/>
    </row>
    <row r="213" spans="7:7" x14ac:dyDescent="0.25">
      <c r="G213" s="155"/>
    </row>
    <row r="214" spans="7:7" x14ac:dyDescent="0.25">
      <c r="G214" s="155"/>
    </row>
    <row r="215" spans="7:7" x14ac:dyDescent="0.25">
      <c r="G215" s="155"/>
    </row>
    <row r="216" spans="7:7" x14ac:dyDescent="0.25">
      <c r="G216" s="155"/>
    </row>
    <row r="217" spans="7:7" x14ac:dyDescent="0.25">
      <c r="G217" s="155"/>
    </row>
    <row r="218" spans="7:7" x14ac:dyDescent="0.25">
      <c r="G218" s="155"/>
    </row>
    <row r="219" spans="7:7" x14ac:dyDescent="0.25">
      <c r="G219" s="155"/>
    </row>
    <row r="220" spans="7:7" x14ac:dyDescent="0.25">
      <c r="G220" s="155"/>
    </row>
    <row r="221" spans="7:7" x14ac:dyDescent="0.25">
      <c r="G221" s="155"/>
    </row>
    <row r="222" spans="7:7" x14ac:dyDescent="0.25">
      <c r="G222" s="155"/>
    </row>
    <row r="223" spans="7:7" x14ac:dyDescent="0.25">
      <c r="G223" s="155"/>
    </row>
    <row r="224" spans="7:7" x14ac:dyDescent="0.25">
      <c r="G224" s="155"/>
    </row>
    <row r="225" spans="7:7" x14ac:dyDescent="0.25">
      <c r="G225" s="155"/>
    </row>
    <row r="226" spans="7:7" x14ac:dyDescent="0.25">
      <c r="G226" s="155"/>
    </row>
    <row r="227" spans="7:7" x14ac:dyDescent="0.25">
      <c r="G227" s="155"/>
    </row>
    <row r="228" spans="7:7" x14ac:dyDescent="0.25">
      <c r="G228" s="155"/>
    </row>
    <row r="229" spans="7:7" x14ac:dyDescent="0.25">
      <c r="G229" s="155"/>
    </row>
    <row r="230" spans="7:7" x14ac:dyDescent="0.25">
      <c r="G230" s="155"/>
    </row>
    <row r="231" spans="7:7" x14ac:dyDescent="0.25">
      <c r="G231" s="155"/>
    </row>
    <row r="232" spans="7:7" x14ac:dyDescent="0.25">
      <c r="G232" s="155"/>
    </row>
    <row r="233" spans="7:7" x14ac:dyDescent="0.25">
      <c r="G233" s="155"/>
    </row>
    <row r="234" spans="7:7" x14ac:dyDescent="0.25">
      <c r="G234" s="155"/>
    </row>
    <row r="235" spans="7:7" x14ac:dyDescent="0.25">
      <c r="G235" s="155"/>
    </row>
    <row r="236" spans="7:7" x14ac:dyDescent="0.25">
      <c r="G236" s="155"/>
    </row>
    <row r="237" spans="7:7" x14ac:dyDescent="0.25">
      <c r="G237" s="155"/>
    </row>
    <row r="238" spans="7:7" x14ac:dyDescent="0.25">
      <c r="G238" s="155"/>
    </row>
    <row r="239" spans="7:7" x14ac:dyDescent="0.25">
      <c r="G239" s="155"/>
    </row>
    <row r="240" spans="7:7" x14ac:dyDescent="0.25">
      <c r="G240" s="155"/>
    </row>
    <row r="241" spans="7:7" x14ac:dyDescent="0.25">
      <c r="G241" s="155"/>
    </row>
    <row r="242" spans="7:7" x14ac:dyDescent="0.25">
      <c r="G242" s="155"/>
    </row>
    <row r="243" spans="7:7" x14ac:dyDescent="0.25">
      <c r="G243" s="155"/>
    </row>
    <row r="244" spans="7:7" x14ac:dyDescent="0.25">
      <c r="G244" s="155"/>
    </row>
    <row r="245" spans="7:7" x14ac:dyDescent="0.25">
      <c r="G245" s="155"/>
    </row>
    <row r="246" spans="7:7" x14ac:dyDescent="0.25">
      <c r="G246" s="155"/>
    </row>
    <row r="247" spans="7:7" x14ac:dyDescent="0.25">
      <c r="G247" s="155"/>
    </row>
    <row r="248" spans="7:7" x14ac:dyDescent="0.25">
      <c r="G248" s="155"/>
    </row>
    <row r="249" spans="7:7" x14ac:dyDescent="0.25">
      <c r="G249" s="155"/>
    </row>
    <row r="250" spans="7:7" x14ac:dyDescent="0.25">
      <c r="G250" s="155"/>
    </row>
    <row r="251" spans="7:7" x14ac:dyDescent="0.25">
      <c r="G251" s="155"/>
    </row>
    <row r="252" spans="7:7" x14ac:dyDescent="0.25">
      <c r="G252" s="155"/>
    </row>
    <row r="253" spans="7:7" x14ac:dyDescent="0.25">
      <c r="G253" s="155"/>
    </row>
    <row r="254" spans="7:7" x14ac:dyDescent="0.25">
      <c r="G254" s="155"/>
    </row>
    <row r="255" spans="7:7" x14ac:dyDescent="0.25">
      <c r="G255" s="155"/>
    </row>
    <row r="256" spans="7:7" x14ac:dyDescent="0.25">
      <c r="G256" s="155"/>
    </row>
    <row r="257" spans="7:7" x14ac:dyDescent="0.25">
      <c r="G257" s="155"/>
    </row>
    <row r="258" spans="7:7" x14ac:dyDescent="0.25">
      <c r="G258" s="155"/>
    </row>
    <row r="259" spans="7:7" x14ac:dyDescent="0.25">
      <c r="G259" s="155"/>
    </row>
    <row r="260" spans="7:7" x14ac:dyDescent="0.25">
      <c r="G260" s="155"/>
    </row>
    <row r="261" spans="7:7" x14ac:dyDescent="0.25">
      <c r="G261" s="155"/>
    </row>
    <row r="262" spans="7:7" x14ac:dyDescent="0.25">
      <c r="G262" s="155"/>
    </row>
    <row r="263" spans="7:7" x14ac:dyDescent="0.25">
      <c r="G263" s="155"/>
    </row>
    <row r="264" spans="7:7" x14ac:dyDescent="0.25">
      <c r="G264" s="155"/>
    </row>
    <row r="265" spans="7:7" x14ac:dyDescent="0.25">
      <c r="G265" s="155"/>
    </row>
    <row r="266" spans="7:7" x14ac:dyDescent="0.25">
      <c r="G266" s="155"/>
    </row>
    <row r="267" spans="7:7" x14ac:dyDescent="0.25">
      <c r="G267" s="155"/>
    </row>
    <row r="268" spans="7:7" x14ac:dyDescent="0.25">
      <c r="G268" s="155"/>
    </row>
    <row r="269" spans="7:7" x14ac:dyDescent="0.25">
      <c r="G269" s="155"/>
    </row>
    <row r="270" spans="7:7" x14ac:dyDescent="0.25">
      <c r="G270" s="155"/>
    </row>
    <row r="271" spans="7:7" x14ac:dyDescent="0.25">
      <c r="G271" s="155"/>
    </row>
    <row r="272" spans="7:7" x14ac:dyDescent="0.25">
      <c r="G272" s="155"/>
    </row>
    <row r="273" spans="7:7" x14ac:dyDescent="0.25">
      <c r="G273" s="155"/>
    </row>
    <row r="274" spans="7:7" x14ac:dyDescent="0.25">
      <c r="G274" s="155"/>
    </row>
    <row r="275" spans="7:7" x14ac:dyDescent="0.25">
      <c r="G275" s="155"/>
    </row>
    <row r="276" spans="7:7" x14ac:dyDescent="0.25">
      <c r="G276" s="155"/>
    </row>
    <row r="277" spans="7:7" x14ac:dyDescent="0.25">
      <c r="G277" s="155"/>
    </row>
    <row r="278" spans="7:7" x14ac:dyDescent="0.25">
      <c r="G278" s="155"/>
    </row>
    <row r="279" spans="7:7" x14ac:dyDescent="0.25">
      <c r="G279" s="155"/>
    </row>
    <row r="280" spans="7:7" x14ac:dyDescent="0.25">
      <c r="G280" s="155"/>
    </row>
    <row r="281" spans="7:7" x14ac:dyDescent="0.25">
      <c r="G281" s="155"/>
    </row>
    <row r="282" spans="7:7" x14ac:dyDescent="0.25">
      <c r="G282" s="155"/>
    </row>
    <row r="283" spans="7:7" x14ac:dyDescent="0.25">
      <c r="G283" s="155"/>
    </row>
    <row r="284" spans="7:7" x14ac:dyDescent="0.25">
      <c r="G284" s="155"/>
    </row>
    <row r="285" spans="7:7" x14ac:dyDescent="0.25">
      <c r="G285" s="155"/>
    </row>
    <row r="286" spans="7:7" x14ac:dyDescent="0.25">
      <c r="G286" s="155"/>
    </row>
    <row r="287" spans="7:7" x14ac:dyDescent="0.25">
      <c r="G287" s="155"/>
    </row>
    <row r="288" spans="7:7" x14ac:dyDescent="0.25">
      <c r="G288" s="155"/>
    </row>
    <row r="289" spans="7:7" x14ac:dyDescent="0.25">
      <c r="G289" s="155"/>
    </row>
    <row r="290" spans="7:7" x14ac:dyDescent="0.25">
      <c r="G290" s="155"/>
    </row>
    <row r="291" spans="7:7" x14ac:dyDescent="0.25">
      <c r="G291" s="155"/>
    </row>
    <row r="292" spans="7:7" x14ac:dyDescent="0.25">
      <c r="G292" s="155"/>
    </row>
    <row r="293" spans="7:7" x14ac:dyDescent="0.25">
      <c r="G293" s="155"/>
    </row>
    <row r="294" spans="7:7" x14ac:dyDescent="0.25">
      <c r="G294" s="155"/>
    </row>
    <row r="295" spans="7:7" x14ac:dyDescent="0.25">
      <c r="G295" s="155"/>
    </row>
    <row r="296" spans="7:7" x14ac:dyDescent="0.25">
      <c r="G296" s="155"/>
    </row>
    <row r="297" spans="7:7" x14ac:dyDescent="0.25">
      <c r="G297" s="155"/>
    </row>
    <row r="298" spans="7:7" x14ac:dyDescent="0.25">
      <c r="G298" s="155"/>
    </row>
    <row r="299" spans="7:7" x14ac:dyDescent="0.25">
      <c r="G299" s="155"/>
    </row>
    <row r="300" spans="7:7" x14ac:dyDescent="0.25">
      <c r="G300" s="155"/>
    </row>
    <row r="301" spans="7:7" x14ac:dyDescent="0.25">
      <c r="G301" s="155"/>
    </row>
    <row r="302" spans="7:7" x14ac:dyDescent="0.25">
      <c r="G302" s="155"/>
    </row>
    <row r="303" spans="7:7" x14ac:dyDescent="0.25">
      <c r="G303" s="155"/>
    </row>
    <row r="304" spans="7:7" x14ac:dyDescent="0.25">
      <c r="G304" s="155"/>
    </row>
    <row r="305" spans="7:7" x14ac:dyDescent="0.25">
      <c r="G305" s="155"/>
    </row>
    <row r="306" spans="7:7" x14ac:dyDescent="0.25">
      <c r="G306" s="155"/>
    </row>
    <row r="307" spans="7:7" x14ac:dyDescent="0.25">
      <c r="G307" s="155"/>
    </row>
    <row r="308" spans="7:7" x14ac:dyDescent="0.25">
      <c r="G308" s="155"/>
    </row>
    <row r="309" spans="7:7" x14ac:dyDescent="0.25">
      <c r="G309" s="155"/>
    </row>
    <row r="310" spans="7:7" x14ac:dyDescent="0.25">
      <c r="G310" s="155"/>
    </row>
    <row r="311" spans="7:7" x14ac:dyDescent="0.25">
      <c r="G311" s="155"/>
    </row>
    <row r="312" spans="7:7" x14ac:dyDescent="0.25">
      <c r="G312" s="155"/>
    </row>
    <row r="313" spans="7:7" x14ac:dyDescent="0.25">
      <c r="G313" s="155"/>
    </row>
    <row r="314" spans="7:7" x14ac:dyDescent="0.25">
      <c r="G314" s="155"/>
    </row>
    <row r="315" spans="7:7" x14ac:dyDescent="0.25">
      <c r="G315" s="155"/>
    </row>
    <row r="316" spans="7:7" x14ac:dyDescent="0.25">
      <c r="G316" s="155"/>
    </row>
    <row r="317" spans="7:7" x14ac:dyDescent="0.25">
      <c r="G317" s="155"/>
    </row>
    <row r="318" spans="7:7" x14ac:dyDescent="0.25">
      <c r="G318" s="155"/>
    </row>
    <row r="319" spans="7:7" x14ac:dyDescent="0.25">
      <c r="G319" s="156"/>
    </row>
  </sheetData>
  <mergeCells count="4">
    <mergeCell ref="G2:G319"/>
    <mergeCell ref="B3:E3"/>
    <mergeCell ref="B4:E4"/>
    <mergeCell ref="B2:E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Execute.PasteInShape">
                <anchor moveWithCells="1" sizeWithCells="1">
                  <from>
                    <xdr:col>0</xdr:col>
                    <xdr:colOff>99060</xdr:colOff>
                    <xdr:row>6</xdr:row>
                    <xdr:rowOff>22860</xdr:rowOff>
                  </from>
                  <to>
                    <xdr:col>1</xdr:col>
                    <xdr:colOff>76200</xdr:colOff>
                    <xdr:row>7</xdr:row>
                    <xdr:rowOff>83820</xdr:rowOff>
                  </to>
                </anchor>
              </controlPr>
            </control>
          </mc:Choice>
        </mc:AlternateContent>
        <mc:AlternateContent xmlns:mc="http://schemas.openxmlformats.org/markup-compatibility/2006">
          <mc:Choice Requires="x14">
            <control shapeId="40962" r:id="rId5" name="Button 2">
              <controlPr defaultSize="0" print="0" autoFill="0" autoPict="0" macro="[0]!Execute.Execute">
                <anchor moveWithCells="1" sizeWithCells="1">
                  <from>
                    <xdr:col>3</xdr:col>
                    <xdr:colOff>449580</xdr:colOff>
                    <xdr:row>6</xdr:row>
                    <xdr:rowOff>30480</xdr:rowOff>
                  </from>
                  <to>
                    <xdr:col>5</xdr:col>
                    <xdr:colOff>213360</xdr:colOff>
                    <xdr:row>7</xdr:row>
                    <xdr:rowOff>114300</xdr:rowOff>
                  </to>
                </anchor>
              </controlPr>
            </control>
          </mc:Choice>
        </mc:AlternateContent>
        <mc:AlternateContent xmlns:mc="http://schemas.openxmlformats.org/markup-compatibility/2006">
          <mc:Choice Requires="x14">
            <control shapeId="40963" r:id="rId6" name="Button 3">
              <controlPr defaultSize="0" print="0" autoFill="0" autoPict="0" macro="[0]!Execute.OpenLogFile">
                <anchor moveWithCells="1" sizeWithCells="1">
                  <from>
                    <xdr:col>3</xdr:col>
                    <xdr:colOff>449580</xdr:colOff>
                    <xdr:row>4</xdr:row>
                    <xdr:rowOff>22860</xdr:rowOff>
                  </from>
                  <to>
                    <xdr:col>5</xdr:col>
                    <xdr:colOff>198120</xdr:colOff>
                    <xdr:row>5</xdr:row>
                    <xdr:rowOff>99060</xdr:rowOff>
                  </to>
                </anchor>
              </controlPr>
            </control>
          </mc:Choice>
        </mc:AlternateContent>
        <mc:AlternateContent xmlns:mc="http://schemas.openxmlformats.org/markup-compatibility/2006">
          <mc:Choice Requires="x14">
            <control shapeId="40965" r:id="rId7" name="Button 5">
              <controlPr defaultSize="0" print="0" autoFill="0" autoPict="0" macro="[0]!Execute.AzureLogin">
                <anchor moveWithCells="1" sizeWithCells="1">
                  <from>
                    <xdr:col>1</xdr:col>
                    <xdr:colOff>518160</xdr:colOff>
                    <xdr:row>5</xdr:row>
                    <xdr:rowOff>144780</xdr:rowOff>
                  </from>
                  <to>
                    <xdr:col>2</xdr:col>
                    <xdr:colOff>342900</xdr:colOff>
                    <xdr:row>7</xdr:row>
                    <xdr:rowOff>68580</xdr:rowOff>
                  </to>
                </anchor>
              </controlPr>
            </control>
          </mc:Choice>
        </mc:AlternateContent>
        <mc:AlternateContent xmlns:mc="http://schemas.openxmlformats.org/markup-compatibility/2006">
          <mc:Choice Requires="x14">
            <control shapeId="40966" r:id="rId8" name="Button 6">
              <controlPr defaultSize="0" print="0" autoFill="0" autoPict="0" macro="[0]!Execute.ExecuteDirect">
                <anchor moveWithCells="1" sizeWithCells="1">
                  <from>
                    <xdr:col>5</xdr:col>
                    <xdr:colOff>114300</xdr:colOff>
                    <xdr:row>0</xdr:row>
                    <xdr:rowOff>190500</xdr:rowOff>
                  </from>
                  <to>
                    <xdr:col>5</xdr:col>
                    <xdr:colOff>525780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B7D98-F259-4C16-9570-A21AE19F7D2A}">
  <sheetPr codeName="RG">
    <tabColor theme="9" tint="-0.249977111117893"/>
  </sheetPr>
  <dimension ref="A1:M47"/>
  <sheetViews>
    <sheetView showGridLines="0" workbookViewId="0">
      <pane ySplit="12" topLeftCell="A16" activePane="bottomLeft" state="frozen"/>
      <selection activeCell="B3" sqref="B3:D3"/>
      <selection pane="bottomLeft" activeCell="B3" sqref="B3:D3"/>
    </sheetView>
  </sheetViews>
  <sheetFormatPr defaultColWidth="9.109375" defaultRowHeight="12" x14ac:dyDescent="0.25"/>
  <cols>
    <col min="1" max="1" width="14.6640625" style="1" customWidth="1"/>
    <col min="2" max="2" width="17" style="1" customWidth="1"/>
    <col min="3" max="3" width="13.109375" style="1" bestFit="1" customWidth="1"/>
    <col min="4" max="4" width="10" style="1" bestFit="1" customWidth="1"/>
    <col min="5" max="5" width="5.44140625" style="1" bestFit="1" customWidth="1"/>
    <col min="6" max="6" width="23.88671875" style="1" bestFit="1" customWidth="1"/>
    <col min="7" max="7" width="9.44140625" style="1" bestFit="1" customWidth="1"/>
    <col min="8" max="8" width="31.6640625" style="1" bestFit="1" customWidth="1"/>
    <col min="9" max="9" width="25.109375" style="1" bestFit="1" customWidth="1"/>
    <col min="10" max="10" width="8.33203125" style="1" bestFit="1" customWidth="1"/>
    <col min="11" max="11" width="12.109375" style="1" customWidth="1"/>
    <col min="12" max="12" width="19.6640625" style="1" hidden="1" customWidth="1"/>
    <col min="13" max="13" width="1.5546875" style="1" hidden="1" customWidth="1"/>
    <col min="14" max="16384" width="9.109375" style="1"/>
  </cols>
  <sheetData>
    <row r="1" spans="1:13" ht="15.6" x14ac:dyDescent="0.3">
      <c r="A1" s="39" t="s">
        <v>86</v>
      </c>
      <c r="B1" s="39"/>
    </row>
    <row r="2" spans="1:13" x14ac:dyDescent="0.25">
      <c r="I2" s="1" t="s">
        <v>58</v>
      </c>
    </row>
    <row r="3" spans="1:13" x14ac:dyDescent="0.25">
      <c r="I3" s="1" t="s">
        <v>57</v>
      </c>
    </row>
    <row r="4" spans="1:13" x14ac:dyDescent="0.25">
      <c r="I4" s="1" t="s">
        <v>56</v>
      </c>
    </row>
    <row r="11" spans="1:13" x14ac:dyDescent="0.25">
      <c r="A11" s="97" t="s">
        <v>55</v>
      </c>
      <c r="B11" s="96" t="s">
        <v>83</v>
      </c>
      <c r="C11" s="96"/>
      <c r="D11" s="96"/>
      <c r="E11" s="96"/>
      <c r="F11" s="26" t="s">
        <v>53</v>
      </c>
      <c r="G11" s="26"/>
      <c r="H11" s="26"/>
      <c r="I11" s="24"/>
      <c r="J11" s="26"/>
      <c r="K11" s="28"/>
      <c r="L11" s="29"/>
      <c r="M11" s="29"/>
    </row>
    <row r="12" spans="1:13" x14ac:dyDescent="0.25">
      <c r="A12" s="16" t="s">
        <v>55</v>
      </c>
      <c r="B12" s="16" t="s">
        <v>52</v>
      </c>
      <c r="C12" s="15" t="s">
        <v>178</v>
      </c>
      <c r="D12" s="15" t="s">
        <v>50</v>
      </c>
      <c r="E12" s="15" t="s">
        <v>49</v>
      </c>
      <c r="F12" s="15" t="s">
        <v>48</v>
      </c>
      <c r="G12" s="15" t="s">
        <v>47</v>
      </c>
      <c r="H12" s="15" t="s">
        <v>89</v>
      </c>
      <c r="I12" s="15" t="s">
        <v>85</v>
      </c>
      <c r="J12" s="14" t="s">
        <v>46</v>
      </c>
      <c r="K12" s="14" t="s">
        <v>45</v>
      </c>
      <c r="L12" s="14" t="s">
        <v>44</v>
      </c>
      <c r="M12" s="15" t="s">
        <v>84</v>
      </c>
    </row>
    <row r="13" spans="1:13" x14ac:dyDescent="0.25">
      <c r="A13" s="13"/>
      <c r="B13" s="13"/>
      <c r="C13" s="5"/>
      <c r="D13" s="5"/>
      <c r="E13" s="5" t="s">
        <v>40</v>
      </c>
      <c r="F13" s="8"/>
      <c r="G13" s="8"/>
      <c r="H13" s="98" t="str" cm="1">
        <f t="array" ref="H13">GetSubscriptionID(Table_ResourceGroup[[#This Row],[Subscription]])</f>
        <v/>
      </c>
      <c r="I13" s="35" t="str" cm="1">
        <f t="array" ref="I13">CreateResourceName("rg",Table_ResourceGroup[[#This Row],[Application]],Table_ResourceGroup[[#This Row],[Customer/Project]],Table_ResourceGroup[[#This Row],[Environment]],Table_ResourceGroup[[#This Row],[region]])</f>
        <v/>
      </c>
      <c r="J13" s="11" t="str" cm="1">
        <f t="array" ref="J13">GetDsiEnvironment(Table_ResourceGroup[[#This Row],[Environment]])</f>
        <v/>
      </c>
      <c r="K13" s="35" t="str" cm="1">
        <f t="array" ref="K13">GetRegionName(Table_ResourceGroup[[#This Row],[region]])</f>
        <v>northeurope</v>
      </c>
      <c r="L13" s="36" t="str" cm="1">
        <f t="array" ref="L13">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13" s="33" t="str">
        <f>IF(Table_ResourceGroup[[#This Row],[Script]]="","",".")</f>
        <v/>
      </c>
    </row>
    <row r="14" spans="1:13" x14ac:dyDescent="0.25">
      <c r="A14" s="13" t="s">
        <v>184</v>
      </c>
      <c r="B14" s="13" t="s">
        <v>66</v>
      </c>
      <c r="C14" s="5" t="s">
        <v>161</v>
      </c>
      <c r="D14" s="5" t="s">
        <v>41</v>
      </c>
      <c r="E14" s="5" t="s">
        <v>40</v>
      </c>
      <c r="F14" s="8" t="s">
        <v>39</v>
      </c>
      <c r="G14" s="8" t="s">
        <v>162</v>
      </c>
      <c r="H14" s="98" t="str" cm="1">
        <f t="array" ref="H14">GetSubscriptionID(Table_ResourceGroup[[#This Row],[Subscription]])</f>
        <v>480c4dad-9dc0-4d1d-9f65-813a4365d5c9</v>
      </c>
      <c r="I14" s="35" t="str" cm="1">
        <f t="array" ref="I14">CreateResourceName("rg",Table_ResourceGroup[[#This Row],[Application]],Table_ResourceGroup[[#This Row],[Customer/Project]],Table_ResourceGroup[[#This Row],[Environment]],Table_ResourceGroup[[#This Row],[region]])</f>
        <v>rg-tests-eurys-dev-ne</v>
      </c>
      <c r="J14" s="11" t="str" cm="1">
        <f t="array" ref="J14">GetDsiEnvironment(Table_ResourceGroup[[#This Row],[Environment]])</f>
        <v>DEV</v>
      </c>
      <c r="K14" s="35" t="str" cm="1">
        <f t="array" ref="K14">GetRegionName(Table_ResourceGroup[[#This Row],[region]])</f>
        <v>northeurope</v>
      </c>
      <c r="L14" s="36" t="str" cm="1">
        <f t="array" ref="L14">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480c4dad-9dc0-4d1d-9f65-813a4365d5c9_x000D__x000D_az group create --name rg-tests-eurys-dev-ne --location northeurope --tags owner_contact="eddy.moren@suez.com" financial_contact="eddy.moren@suez.com" environment="DEV" billing_code="SVCREAJV" security_contact="ludovic.bideau@suez.com" application_name="tests" created_by="GF5490" created_with="xOpsCLIG" date="2023-04-10_19:58:39"</v>
      </c>
      <c r="M14" s="33" t="str">
        <f>IF(Table_ResourceGroup[[#This Row],[Script]]="","",".")</f>
        <v>.</v>
      </c>
    </row>
    <row r="15" spans="1:13" x14ac:dyDescent="0.25">
      <c r="A15" s="13"/>
      <c r="B15" s="10"/>
      <c r="C15" s="8"/>
      <c r="D15" s="8"/>
      <c r="E15" s="8"/>
      <c r="F15" s="8"/>
      <c r="G15" s="8"/>
      <c r="H15" s="98" t="str" cm="1">
        <f t="array" ref="H15">GetSubscriptionID(Table_ResourceGroup[[#This Row],[Subscription]])</f>
        <v/>
      </c>
      <c r="I15" s="9" t="str" cm="1">
        <f t="array" ref="I15">CreateResourceName("rg",Table_ResourceGroup[[#This Row],[Application]],Table_ResourceGroup[[#This Row],[Customer/Project]],Table_ResourceGroup[[#This Row],[Environment]],Table_ResourceGroup[[#This Row],[region]])</f>
        <v/>
      </c>
      <c r="J15" s="11" t="str" cm="1">
        <f t="array" ref="J15">GetDsiEnvironment(Table_ResourceGroup[[#This Row],[Environment]])</f>
        <v/>
      </c>
      <c r="K15" s="12" t="str" cm="1">
        <f t="array" ref="K15">GetRegionName(Table_ResourceGroup[[#This Row],[region]])</f>
        <v/>
      </c>
      <c r="L15" s="31" t="str" cm="1">
        <f t="array" ref="L15">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15" s="34" t="str">
        <f>IF(Table_ResourceGroup[[#This Row],[Script]]="","",".")</f>
        <v/>
      </c>
    </row>
    <row r="16" spans="1:13" x14ac:dyDescent="0.25">
      <c r="A16" s="13" t="s">
        <v>183</v>
      </c>
      <c r="B16" s="10" t="s">
        <v>168</v>
      </c>
      <c r="C16" s="8" t="s">
        <v>169</v>
      </c>
      <c r="D16" s="8" t="s">
        <v>80</v>
      </c>
      <c r="E16" s="8" t="s">
        <v>40</v>
      </c>
      <c r="F16" s="8" t="s">
        <v>39</v>
      </c>
      <c r="G16" s="8" t="s">
        <v>170</v>
      </c>
      <c r="H16" s="98" t="str" cm="1">
        <f t="array" ref="H16">GetSubscriptionID(Table_ResourceGroup[[#This Row],[Subscription]])</f>
        <v>55173195-9a7e-486e-8c8d-4740bcbcb111</v>
      </c>
      <c r="I16" s="9" t="str" cm="1">
        <f t="array" ref="I16">CreateResourceName("rg",Table_ResourceGroup[[#This Row],[Application]],Table_ResourceGroup[[#This Row],[Customer/Project]],Table_ResourceGroup[[#This Row],[Environment]],Table_ResourceGroup[[#This Row],[region]])</f>
        <v>rg-backup-hubis-prod-ne</v>
      </c>
      <c r="J16" s="11" t="str" cm="1">
        <f t="array" ref="J16">GetDsiEnvironment(Table_ResourceGroup[[#This Row],[Environment]])</f>
        <v>PRD</v>
      </c>
      <c r="K16" s="12" t="str" cm="1">
        <f t="array" ref="K16">GetRegionName(Table_ResourceGroup[[#This Row],[region]])</f>
        <v>northeurope</v>
      </c>
      <c r="L16" s="31" t="str" cm="1">
        <f t="array" ref="L16">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55173195-9a7e-486e-8c8d-4740bcbcb111_x000D__x000D_az group create --name rg-backup-hubis-prod-ne --location northeurope --tags owner_contact="eddy.moren@suez.com" financial_contact="eddy.moren@suez.com" environment="PRD" billing_code="SV23I67" security_contact="ludovic.bideau@suez.com" application_name="backup" created_by="GF5490" created_with="xOpsCLIG" date="2023-04-10_19:58:39"</v>
      </c>
      <c r="M16" s="34" t="str">
        <f>IF(Table_ResourceGroup[[#This Row],[Script]]="","",".")</f>
        <v>.</v>
      </c>
    </row>
    <row r="17" spans="1:13" x14ac:dyDescent="0.25">
      <c r="A17" s="13" t="s">
        <v>182</v>
      </c>
      <c r="B17" s="10" t="s">
        <v>168</v>
      </c>
      <c r="C17" s="8" t="s">
        <v>171</v>
      </c>
      <c r="D17" s="8" t="s">
        <v>78</v>
      </c>
      <c r="E17" s="8" t="s">
        <v>40</v>
      </c>
      <c r="F17" s="8" t="s">
        <v>39</v>
      </c>
      <c r="G17" s="8" t="s">
        <v>170</v>
      </c>
      <c r="H17" s="98" t="str" cm="1">
        <f t="array" ref="H17">GetSubscriptionID(Table_ResourceGroup[[#This Row],[Subscription]])</f>
        <v>62c82006-9f6b-4a7f-a142-50f557c7e0e7</v>
      </c>
      <c r="I17" s="9" t="str" cm="1">
        <f t="array" ref="I17">CreateResourceName("rg",Table_ResourceGroup[[#This Row],[Application]],Table_ResourceGroup[[#This Row],[Customer/Project]],Table_ResourceGroup[[#This Row],[Environment]],Table_ResourceGroup[[#This Row],[region]])</f>
        <v>rg-backup-devis-devt-ne</v>
      </c>
      <c r="J17" s="11" t="str" cm="1">
        <f t="array" ref="J17">GetDsiEnvironment(Table_ResourceGroup[[#This Row],[Environment]])</f>
        <v>DEV</v>
      </c>
      <c r="K17" s="12" t="str" cm="1">
        <f t="array" ref="K17">GetRegionName(Table_ResourceGroup[[#This Row],[region]])</f>
        <v>northeurope</v>
      </c>
      <c r="L17" s="31" t="str" cm="1">
        <f t="array" ref="L17">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62c82006-9f6b-4a7f-a142-50f557c7e0e7_x000D__x000D_az group create --name rg-backup-devis-devt-ne --location northeurope --tags owner_contact="eddy.moren@suez.com" financial_contact="eddy.moren@suez.com" environment="DEV" billing_code="SV23I67" security_contact="ludovic.bideau@suez.com" application_name="backup" created_by="GF5490" created_with="xOpsCLIG" date="2023-04-10_19:58:39"</v>
      </c>
      <c r="M17" s="34" t="str">
        <f>IF(Table_ResourceGroup[[#This Row],[Script]]="","",".")</f>
        <v>.</v>
      </c>
    </row>
    <row r="18" spans="1:13" x14ac:dyDescent="0.25">
      <c r="A18" s="13" t="s">
        <v>179</v>
      </c>
      <c r="B18" s="10" t="s">
        <v>168</v>
      </c>
      <c r="C18" s="8" t="s">
        <v>172</v>
      </c>
      <c r="D18" s="8" t="s">
        <v>80</v>
      </c>
      <c r="E18" s="8" t="s">
        <v>40</v>
      </c>
      <c r="F18" s="8" t="s">
        <v>39</v>
      </c>
      <c r="G18" s="8" t="s">
        <v>170</v>
      </c>
      <c r="H18" s="98" t="str" cm="1">
        <f t="array" ref="H18">GetSubscriptionID(Table_ResourceGroup[[#This Row],[Subscription]])</f>
        <v>2681ae91-bcc8-46aa-8fdc-db2a51fea5d8</v>
      </c>
      <c r="I18" s="9" t="str" cm="1">
        <f t="array" ref="I18">CreateResourceName("rg",Table_ResourceGroup[[#This Row],[Application]],Table_ResourceGroup[[#This Row],[Customer/Project]],Table_ResourceGroup[[#This Row],[Environment]],Table_ResourceGroup[[#This Row],[region]])</f>
        <v>rg-backup-prodis-prod-ne</v>
      </c>
      <c r="J18" s="11" t="str" cm="1">
        <f t="array" ref="J18">GetDsiEnvironment(Table_ResourceGroup[[#This Row],[Environment]])</f>
        <v>PRD</v>
      </c>
      <c r="K18" s="12" t="str" cm="1">
        <f t="array" ref="K18">GetRegionName(Table_ResourceGroup[[#This Row],[region]])</f>
        <v>northeurope</v>
      </c>
      <c r="L18" s="31" t="str" cm="1">
        <f t="array" ref="L18">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2681ae91-bcc8-46aa-8fdc-db2a51fea5d8_x000D__x000D_az group create --name rg-backup-prodis-prod-ne --location northeurope --tags owner_contact="eddy.moren@suez.com" financial_contact="eddy.moren@suez.com" environment="PRD" billing_code="SV23I67" security_contact="ludovic.bideau@suez.com" application_name="backup" created_by="GF5490" created_with="xOpsCLIG" date="2023-04-10_19:58:39"</v>
      </c>
      <c r="M18" s="34" t="str">
        <f>IF(Table_ResourceGroup[[#This Row],[Script]]="","",".")</f>
        <v>.</v>
      </c>
    </row>
    <row r="19" spans="1:13" x14ac:dyDescent="0.25">
      <c r="A19" s="13" t="s">
        <v>180</v>
      </c>
      <c r="B19" s="10" t="s">
        <v>168</v>
      </c>
      <c r="C19" s="8" t="s">
        <v>173</v>
      </c>
      <c r="D19" s="8" t="s">
        <v>222</v>
      </c>
      <c r="E19" s="8" t="s">
        <v>40</v>
      </c>
      <c r="F19" s="8" t="s">
        <v>39</v>
      </c>
      <c r="G19" s="8" t="s">
        <v>170</v>
      </c>
      <c r="H19" s="98" t="str" cm="1">
        <f t="array" ref="H19">GetSubscriptionID(Table_ResourceGroup[[#This Row],[Subscription]])</f>
        <v>e1a78a6b-2cce-46ab-a83f-5d4d924dcba9</v>
      </c>
      <c r="I19" s="9" t="str" cm="1">
        <f t="array" ref="I19">CreateResourceName("rg",Table_ResourceGroup[[#This Row],[Application]],Table_ResourceGroup[[#This Row],[Customer/Project]],Table_ResourceGroup[[#This Row],[Environment]],Table_ResourceGroup[[#This Row],[region]])</f>
        <v>rg-backup-devsuez---ne</v>
      </c>
      <c r="J19" s="11" t="str" cm="1">
        <f t="array" ref="J19">GetDsiEnvironment(Table_ResourceGroup[[#This Row],[Environment]])</f>
        <v>Unknown</v>
      </c>
      <c r="K19" s="12" t="str" cm="1">
        <f t="array" ref="K19">GetRegionName(Table_ResourceGroup[[#This Row],[region]])</f>
        <v>northeurope</v>
      </c>
      <c r="L19" s="31" t="str" cm="1">
        <f t="array" ref="L19">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e1a78a6b-2cce-46ab-a83f-5d4d924dcba9_x000D__x000D_az group create --name rg-backup-devsuez---ne --location northeurope --tags owner_contact="eddy.moren@suez.com" financial_contact="eddy.moren@suez.com" environment="Unknown" billing_code="SV23I67" security_contact="ludovic.bideau@suez.com" application_name="backup" created_by="GF5490" created_with="xOpsCLIG" date="2023-04-10_19:58:39"</v>
      </c>
      <c r="M19" s="34" t="str">
        <f>IF(Table_ResourceGroup[[#This Row],[Script]]="","",".")</f>
        <v>.</v>
      </c>
    </row>
    <row r="20" spans="1:13" x14ac:dyDescent="0.25">
      <c r="A20" s="13" t="s">
        <v>181</v>
      </c>
      <c r="B20" s="10" t="s">
        <v>168</v>
      </c>
      <c r="C20" s="8" t="s">
        <v>174</v>
      </c>
      <c r="D20" s="8" t="s">
        <v>223</v>
      </c>
      <c r="E20" s="8" t="s">
        <v>40</v>
      </c>
      <c r="F20" s="8" t="s">
        <v>39</v>
      </c>
      <c r="G20" s="8" t="s">
        <v>170</v>
      </c>
      <c r="H20" s="98" t="str" cm="1">
        <f t="array" ref="H20">GetSubscriptionID(Table_ResourceGroup[[#This Row],[Subscription]])</f>
        <v>af9f6198-6bb3-4dcf-aa26-3626cb338b4d</v>
      </c>
      <c r="I20" s="9" t="str" cm="1">
        <f t="array" ref="I20">CreateResourceName("rg",Table_ResourceGroup[[#This Row],[Application]],Table_ResourceGroup[[#This Row],[Customer/Project]],Table_ResourceGroup[[#This Row],[Environment]],Table_ResourceGroup[[#This Row],[region]])</f>
        <v>rg-backup-prodsuez-(-ne</v>
      </c>
      <c r="J20" s="11" t="str" cm="1">
        <f t="array" ref="J20">GetDsiEnvironment(Table_ResourceGroup[[#This Row],[Environment]])</f>
        <v>Unknown</v>
      </c>
      <c r="K20" s="12" t="str" cm="1">
        <f t="array" ref="K20">GetRegionName(Table_ResourceGroup[[#This Row],[region]])</f>
        <v>northeurope</v>
      </c>
      <c r="L20" s="31" t="str" cm="1">
        <f t="array" ref="L20">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af9f6198-6bb3-4dcf-aa26-3626cb338b4d_x000D__x000D_az group create --name rg-backup-prodsuez-(-ne --location northeurope --tags owner_contact="eddy.moren@suez.com" financial_contact="eddy.moren@suez.com" environment="Unknown" billing_code="SV23I67" security_contact="ludovic.bideau@suez.com" application_name="backup" created_by="GF5490" created_with="xOpsCLIG" date="2023-04-10_19:58:39"</v>
      </c>
      <c r="M20" s="34" t="str">
        <f>IF(Table_ResourceGroup[[#This Row],[Script]]="","",".")</f>
        <v>.</v>
      </c>
    </row>
    <row r="21" spans="1:13" x14ac:dyDescent="0.25">
      <c r="A21" s="13"/>
      <c r="B21" s="10"/>
      <c r="C21" s="8"/>
      <c r="D21" s="8"/>
      <c r="E21" s="8"/>
      <c r="F21" s="8"/>
      <c r="G21" s="8"/>
      <c r="H21" s="98" t="str" cm="1">
        <f t="array" ref="H21">GetSubscriptionID(Table_ResourceGroup[[#This Row],[Subscription]])</f>
        <v/>
      </c>
      <c r="I21" s="9" t="str" cm="1">
        <f t="array" ref="I21">CreateResourceName("rg",Table_ResourceGroup[[#This Row],[Application]],Table_ResourceGroup[[#This Row],[Customer/Project]],Table_ResourceGroup[[#This Row],[Environment]],Table_ResourceGroup[[#This Row],[region]])</f>
        <v/>
      </c>
      <c r="J21" s="11" t="str" cm="1">
        <f t="array" ref="J21">GetDsiEnvironment(Table_ResourceGroup[[#This Row],[Environment]])</f>
        <v/>
      </c>
      <c r="K21" s="12" t="str" cm="1">
        <f t="array" ref="K21">GetRegionName(Table_ResourceGroup[[#This Row],[region]])</f>
        <v/>
      </c>
      <c r="L21" s="31" t="str" cm="1">
        <f t="array" ref="L21">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21" s="34" t="str">
        <f>IF(Table_ResourceGroup[[#This Row],[Script]]="","",".")</f>
        <v/>
      </c>
    </row>
    <row r="22" spans="1:13" x14ac:dyDescent="0.25">
      <c r="A22" s="13"/>
      <c r="B22" s="10"/>
      <c r="C22" s="8"/>
      <c r="D22" s="8"/>
      <c r="E22" s="8"/>
      <c r="F22" s="8"/>
      <c r="G22" s="8"/>
      <c r="H22" s="98" t="str" cm="1">
        <f t="array" ref="H22">GetSubscriptionID(Table_ResourceGroup[[#This Row],[Subscription]])</f>
        <v/>
      </c>
      <c r="I22" s="9" t="str" cm="1">
        <f t="array" ref="I22">CreateResourceName("rg",Table_ResourceGroup[[#This Row],[Application]],Table_ResourceGroup[[#This Row],[Customer/Project]],Table_ResourceGroup[[#This Row],[Environment]],Table_ResourceGroup[[#This Row],[region]])</f>
        <v/>
      </c>
      <c r="J22" s="11" t="str" cm="1">
        <f t="array" ref="J22">GetDsiEnvironment(Table_ResourceGroup[[#This Row],[Environment]])</f>
        <v/>
      </c>
      <c r="K22" s="12" t="str" cm="1">
        <f t="array" ref="K22">GetRegionName(Table_ResourceGroup[[#This Row],[region]])</f>
        <v/>
      </c>
      <c r="L22" s="31" t="str" cm="1">
        <f t="array" ref="L22">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22" s="34" t="str">
        <f>IF(Table_ResourceGroup[[#This Row],[Script]]="","",".")</f>
        <v/>
      </c>
    </row>
    <row r="23" spans="1:13" x14ac:dyDescent="0.25">
      <c r="A23" s="13" t="s">
        <v>181</v>
      </c>
      <c r="B23" s="10" t="s">
        <v>175</v>
      </c>
      <c r="C23" s="8" t="s">
        <v>185</v>
      </c>
      <c r="D23" s="8" t="s">
        <v>80</v>
      </c>
      <c r="E23" s="8" t="s">
        <v>40</v>
      </c>
      <c r="F23" s="8" t="s">
        <v>176</v>
      </c>
      <c r="G23" s="8" t="s">
        <v>177</v>
      </c>
      <c r="H23" s="98" t="str" cm="1">
        <f t="array" ref="H23">GetSubscriptionID(Table_ResourceGroup[[#This Row],[Subscription]])</f>
        <v>af9f6198-6bb3-4dcf-aa26-3626cb338b4d</v>
      </c>
      <c r="I23" s="9" t="str" cm="1">
        <f t="array" ref="I23">CreateResourceName("rg",Table_ResourceGroup[[#This Row],[Application]],Table_ResourceGroup[[#This Row],[Customer/Project]],Table_ResourceGroup[[#This Row],[Environment]],Table_ResourceGroup[[#This Row],[region]])</f>
        <v>rg-rgldw-datahistorian-prod-ne</v>
      </c>
      <c r="J23" s="11" t="str" cm="1">
        <f t="array" ref="J23">GetDsiEnvironment(Table_ResourceGroup[[#This Row],[Environment]])</f>
        <v>PRD</v>
      </c>
      <c r="K23" s="12" t="str" cm="1">
        <f t="array" ref="K23">GetRegionName(Table_ResourceGroup[[#This Row],[region]])</f>
        <v>northeurope</v>
      </c>
      <c r="L23" s="31" t="str" cm="1">
        <f t="array" ref="L23">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af9f6198-6bb3-4dcf-aa26-3626cb338b4d_x000D__x000D_az group create --name rg-rgldw-datahistorian-prod-ne --location northeurope --tags owner_contact="thierry.maldonado@suez.com" financial_contact="thierry.maldonado@suez.com" environment="PRD" billing_code="SVMRE006" security_contact="ludovic.bideau@suez.com" application_name="rgldw" created_by="GF5490" created_with="xOpsCLIG" date="2023-04-10_19:58:39"</v>
      </c>
      <c r="M23" s="34" t="str">
        <f>IF(Table_ResourceGroup[[#This Row],[Script]]="","",".")</f>
        <v>.</v>
      </c>
    </row>
    <row r="24" spans="1:13" x14ac:dyDescent="0.25">
      <c r="A24" s="13" t="s">
        <v>180</v>
      </c>
      <c r="B24" s="10" t="s">
        <v>66</v>
      </c>
      <c r="C24" s="8" t="s">
        <v>213</v>
      </c>
      <c r="D24" s="8" t="s">
        <v>78</v>
      </c>
      <c r="E24" s="8" t="s">
        <v>40</v>
      </c>
      <c r="F24" s="8" t="s">
        <v>39</v>
      </c>
      <c r="G24" s="8" t="s">
        <v>170</v>
      </c>
      <c r="H24" s="98" t="str" cm="1">
        <f t="array" ref="H24">GetSubscriptionID(Table_ResourceGroup[[#This Row],[Subscription]])</f>
        <v>e1a78a6b-2cce-46ab-a83f-5d4d924dcba9</v>
      </c>
      <c r="I24" s="9" t="str" cm="1">
        <f t="array" ref="I24">CreateResourceName("rg",Table_ResourceGroup[[#This Row],[Application]],Table_ResourceGroup[[#This Row],[Customer/Project]],Table_ResourceGroup[[#This Row],[Environment]],Table_ResourceGroup[[#This Row],[region]])</f>
        <v>rg-tests-az vm list-sizes --location northeurope  --query "[?name=='standard_d4as_v5']"-devt-ne</v>
      </c>
      <c r="J24" s="11" t="str" cm="1">
        <f t="array" ref="J24">GetDsiEnvironment(Table_ResourceGroup[[#This Row],[Environment]])</f>
        <v>DEV</v>
      </c>
      <c r="K24" s="12" t="str" cm="1">
        <f t="array" ref="K24">GetRegionName(Table_ResourceGroup[[#This Row],[region]])</f>
        <v>northeurope</v>
      </c>
      <c r="L24" s="31" t="str" cm="1">
        <f t="array" ref="L24">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e1a78a6b-2cce-46ab-a83f-5d4d924dcba9_x000D__x000D_az group create --name rg-tests-az vm list-sizes --location northeurope  --query "[?name=='standard_d4as_v5']"-devt-ne --location northeurope --tags owner_contact="eddy.moren@suez.com" financial_contact="eddy.moren@suez.com" environment="DEV" billing_code="SV23I67" security_contact="ludovic.bideau@suez.com" application_name="tests" created_by="GF5490" created_with="xOpsCLIG" date="2023-04-10_19:58:39"</v>
      </c>
      <c r="M24" s="34" t="str">
        <f>IF(Table_ResourceGroup[[#This Row],[Script]]="","",".")</f>
        <v>.</v>
      </c>
    </row>
    <row r="25" spans="1:13" x14ac:dyDescent="0.25">
      <c r="A25" s="13" t="s">
        <v>181</v>
      </c>
      <c r="B25" s="10" t="s">
        <v>186</v>
      </c>
      <c r="C25" s="8" t="s">
        <v>187</v>
      </c>
      <c r="D25" s="8" t="s">
        <v>80</v>
      </c>
      <c r="E25" s="8" t="s">
        <v>40</v>
      </c>
      <c r="F25" s="8" t="s">
        <v>176</v>
      </c>
      <c r="G25" s="8" t="s">
        <v>188</v>
      </c>
      <c r="H25" s="98" t="str" cm="1">
        <f t="array" ref="H25">GetSubscriptionID(Table_ResourceGroup[[#This Row],[Subscription]])</f>
        <v>af9f6198-6bb3-4dcf-aa26-3626cb338b4d</v>
      </c>
      <c r="I25" s="9" t="str" cm="1">
        <f t="array" ref="I25">CreateResourceName("rg",Table_ResourceGroup[[#This Row],[Application]],Table_ResourceGroup[[#This Row],[Customer/Project]],Table_ResourceGroup[[#This Row],[Environment]],Table_ResourceGroup[[#This Row],[region]])</f>
        <v>rg-waiwi-pocultimate-prod-ne</v>
      </c>
      <c r="J25" s="11" t="str" cm="1">
        <f t="array" ref="J25">GetDsiEnvironment(Table_ResourceGroup[[#This Row],[Environment]])</f>
        <v>PRD</v>
      </c>
      <c r="K25" s="12" t="str" cm="1">
        <f t="array" ref="K25">GetRegionName(Table_ResourceGroup[[#This Row],[region]])</f>
        <v>northeurope</v>
      </c>
      <c r="L25" s="31" t="str" cm="1">
        <f t="array" ref="L25">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af9f6198-6bb3-4dcf-aa26-3626cb338b4d_x000D__x000D_az group create --name rg-waiwi-pocultimate-prod-ne --location northeurope --tags owner_contact="thierry.maldonado@suez.com" financial_contact="thierry.maldonado@suez.com" environment="PRD" billing_code="SW009028" security_contact="ludovic.bideau@suez.com" application_name="waiwi" created_by="GF5490" created_with="xOpsCLIG" date="2023-04-10_19:58:39"</v>
      </c>
      <c r="M25" s="34" t="str">
        <f>IF(Table_ResourceGroup[[#This Row],[Script]]="","",".")</f>
        <v>.</v>
      </c>
    </row>
    <row r="26" spans="1:13" x14ac:dyDescent="0.25">
      <c r="A26" s="13" t="s">
        <v>181</v>
      </c>
      <c r="B26" s="10" t="s">
        <v>191</v>
      </c>
      <c r="C26" s="8" t="s">
        <v>192</v>
      </c>
      <c r="D26" s="8" t="s">
        <v>79</v>
      </c>
      <c r="E26" s="8" t="s">
        <v>40</v>
      </c>
      <c r="F26" s="8" t="s">
        <v>193</v>
      </c>
      <c r="G26" s="8" t="s">
        <v>194</v>
      </c>
      <c r="H26" s="98" t="str" cm="1">
        <f t="array" ref="H26">GetSubscriptionID(Table_ResourceGroup[[#This Row],[Subscription]])</f>
        <v>af9f6198-6bb3-4dcf-aa26-3626cb338b4d</v>
      </c>
      <c r="I26" s="9" t="str" cm="1">
        <f t="array" ref="I26">CreateResourceName("rg",Table_ResourceGroup[[#This Row],[Application]],Table_ResourceGroup[[#This Row],[Customer/Project]],Table_ResourceGroup[[#This Row],[Environment]],Table_ResourceGroup[[#This Row],[region]])</f>
        <v>rg-aqwn-sef-preprod-ne</v>
      </c>
      <c r="J26" s="11" t="str" cm="1">
        <f t="array" ref="J26">GetDsiEnvironment(Table_ResourceGroup[[#This Row],[Environment]])</f>
        <v>HLM</v>
      </c>
      <c r="K26" s="12" t="str" cm="1">
        <f t="array" ref="K26">GetRegionName(Table_ResourceGroup[[#This Row],[region]])</f>
        <v>northeurope</v>
      </c>
      <c r="L26" s="31" t="str" cm="1">
        <f t="array" ref="L26">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af9f6198-6bb3-4dcf-aa26-3626cb338b4d_x000D__x000D_az group create --name rg-aqwn-sef-preprod-ne --location northeurope --tags owner_contact="melissa.parot@suez.com" financial_contact="melissa.parot@suez.com" environment="HLM" billing_code="SWAQV002" security_contact="ludovic.bideau@suez.com" application_name="aqwn" created_by="GF5490" created_with="xOpsCLIG" date="2023-04-10_19:58:39"</v>
      </c>
      <c r="M26" s="34" t="str">
        <f>IF(Table_ResourceGroup[[#This Row],[Script]]="","",".")</f>
        <v>.</v>
      </c>
    </row>
    <row r="27" spans="1:13" x14ac:dyDescent="0.25">
      <c r="A27" s="13"/>
      <c r="B27" s="10"/>
      <c r="C27" s="8"/>
      <c r="D27" s="5"/>
      <c r="E27" s="5"/>
      <c r="F27" s="8"/>
      <c r="G27" s="8"/>
      <c r="H27" s="104" t="str" cm="1">
        <f t="array" ref="H27">GetSubscriptionID(Table_ResourceGroup[[#This Row],[Subscription]])</f>
        <v/>
      </c>
      <c r="I27" s="35" t="str" cm="1">
        <f t="array" ref="I27">CreateResourceName("rg",Table_ResourceGroup[[#This Row],[Application]],Table_ResourceGroup[[#This Row],[Customer/Project]],Table_ResourceGroup[[#This Row],[Environment]],Table_ResourceGroup[[#This Row],[region]])</f>
        <v/>
      </c>
      <c r="J27" s="6" t="str" cm="1">
        <f t="array" ref="J27">GetDsiEnvironment(Table_ResourceGroup[[#This Row],[Environment]])</f>
        <v/>
      </c>
      <c r="K27" s="35" t="str" cm="1">
        <f t="array" ref="K27">GetRegionName(Table_ResourceGroup[[#This Row],[region]])</f>
        <v/>
      </c>
      <c r="L27" s="36" t="str" cm="1">
        <f t="array" ref="L27">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27" s="33" t="str">
        <f>IF(Table_ResourceGroup[[#This Row],[Script]]="","",".")</f>
        <v/>
      </c>
    </row>
    <row r="28" spans="1:13" x14ac:dyDescent="0.25">
      <c r="A28" s="13"/>
      <c r="B28" s="10"/>
      <c r="C28" s="8"/>
      <c r="D28" s="5"/>
      <c r="E28" s="5"/>
      <c r="F28" s="8"/>
      <c r="G28" s="8"/>
      <c r="H28" s="104" t="str" cm="1">
        <f t="array" ref="H28">GetSubscriptionID(Table_ResourceGroup[[#This Row],[Subscription]])</f>
        <v/>
      </c>
      <c r="I28" s="35" t="str" cm="1">
        <f t="array" ref="I28">CreateResourceName("rg",Table_ResourceGroup[[#This Row],[Application]],Table_ResourceGroup[[#This Row],[Customer/Project]],Table_ResourceGroup[[#This Row],[Environment]],Table_ResourceGroup[[#This Row],[region]])</f>
        <v/>
      </c>
      <c r="J28" s="6" t="str" cm="1">
        <f t="array" ref="J28">GetDsiEnvironment(Table_ResourceGroup[[#This Row],[Environment]])</f>
        <v/>
      </c>
      <c r="K28" s="35" t="str" cm="1">
        <f t="array" ref="K28">GetRegionName(Table_ResourceGroup[[#This Row],[region]])</f>
        <v/>
      </c>
      <c r="L28" s="36" t="str" cm="1">
        <f t="array" ref="L28">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28" s="33" t="str">
        <f>IF(Table_ResourceGroup[[#This Row],[Script]]="","",".")</f>
        <v/>
      </c>
    </row>
    <row r="29" spans="1:13" x14ac:dyDescent="0.25">
      <c r="A29" s="13"/>
      <c r="B29" s="10"/>
      <c r="C29" s="8"/>
      <c r="D29" s="5"/>
      <c r="E29" s="5"/>
      <c r="F29" s="8"/>
      <c r="G29" s="8"/>
      <c r="H29" s="104" t="str" cm="1">
        <f t="array" ref="H29">GetSubscriptionID(Table_ResourceGroup[[#This Row],[Subscription]])</f>
        <v/>
      </c>
      <c r="I29" s="35" t="str" cm="1">
        <f t="array" ref="I29">CreateResourceName("rg",Table_ResourceGroup[[#This Row],[Application]],Table_ResourceGroup[[#This Row],[Customer/Project]],Table_ResourceGroup[[#This Row],[Environment]],Table_ResourceGroup[[#This Row],[region]])</f>
        <v/>
      </c>
      <c r="J29" s="6" t="str" cm="1">
        <f t="array" ref="J29">GetDsiEnvironment(Table_ResourceGroup[[#This Row],[Environment]])</f>
        <v/>
      </c>
      <c r="K29" s="35" t="str" cm="1">
        <f t="array" ref="K29">GetRegionName(Table_ResourceGroup[[#This Row],[region]])</f>
        <v/>
      </c>
      <c r="L29" s="36" t="str" cm="1">
        <f t="array" ref="L29">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29" s="33" t="str">
        <f>IF(Table_ResourceGroup[[#This Row],[Script]]="","",".")</f>
        <v/>
      </c>
    </row>
    <row r="30" spans="1:13" x14ac:dyDescent="0.25">
      <c r="A30" s="13"/>
      <c r="B30" s="10"/>
      <c r="C30" s="8"/>
      <c r="D30" s="5"/>
      <c r="E30" s="5"/>
      <c r="F30" s="8"/>
      <c r="G30" s="8"/>
      <c r="H30" s="104" t="str" cm="1">
        <f t="array" ref="H30">GetSubscriptionID(Table_ResourceGroup[[#This Row],[Subscription]])</f>
        <v/>
      </c>
      <c r="I30" s="35" t="str" cm="1">
        <f t="array" ref="I30">CreateResourceName("rg",Table_ResourceGroup[[#This Row],[Application]],Table_ResourceGroup[[#This Row],[Customer/Project]],Table_ResourceGroup[[#This Row],[Environment]],Table_ResourceGroup[[#This Row],[region]])</f>
        <v/>
      </c>
      <c r="J30" s="6" t="str" cm="1">
        <f t="array" ref="J30">GetDsiEnvironment(Table_ResourceGroup[[#This Row],[Environment]])</f>
        <v/>
      </c>
      <c r="K30" s="35" t="str" cm="1">
        <f t="array" ref="K30">GetRegionName(Table_ResourceGroup[[#This Row],[region]])</f>
        <v/>
      </c>
      <c r="L30" s="36" t="str" cm="1">
        <f t="array" ref="L30">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0" s="33" t="str">
        <f>IF(Table_ResourceGroup[[#This Row],[Script]]="","",".")</f>
        <v/>
      </c>
    </row>
    <row r="31" spans="1:13" x14ac:dyDescent="0.25">
      <c r="A31" s="13" t="s">
        <v>180</v>
      </c>
      <c r="B31" s="10" t="s">
        <v>66</v>
      </c>
      <c r="C31" s="5" t="s">
        <v>201</v>
      </c>
      <c r="D31" s="5" t="s">
        <v>41</v>
      </c>
      <c r="E31" s="5" t="s">
        <v>40</v>
      </c>
      <c r="F31" s="8" t="s">
        <v>39</v>
      </c>
      <c r="G31" s="8" t="s">
        <v>162</v>
      </c>
      <c r="H31" s="104" t="str" cm="1">
        <f t="array" ref="H31">GetSubscriptionID(Table_ResourceGroup[[#This Row],[Subscription]])</f>
        <v>e1a78a6b-2cce-46ab-a83f-5d4d924dcba9</v>
      </c>
      <c r="I31" s="35" t="str" cm="1">
        <f t="array" ref="I31">CreateResourceName("rg",Table_ResourceGroup[[#This Row],[Application]],Table_ResourceGroup[[#This Row],[Customer/Project]],Table_ResourceGroup[[#This Row],[Environment]],Table_ResourceGroup[[#This Row],[region]])</f>
        <v>rg-tests-xxxxxxxxxxxxx-dev-ne</v>
      </c>
      <c r="J31" s="6" t="str" cm="1">
        <f t="array" ref="J31">GetDsiEnvironment(Table_ResourceGroup[[#This Row],[Environment]])</f>
        <v>DEV</v>
      </c>
      <c r="K31" s="35" t="str" cm="1">
        <f t="array" ref="K31">GetRegionName(Table_ResourceGroup[[#This Row],[region]])</f>
        <v>northeurope</v>
      </c>
      <c r="L31" s="36" t="str" cm="1">
        <f t="array" ref="L31">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e1a78a6b-2cce-46ab-a83f-5d4d924dcba9_x000D__x000D_az group create --name rg-tests-xxxxxxxxxxxxx-dev-ne --location northeurope --tags owner_contact="eddy.moren@suez.com" financial_contact="eddy.moren@suez.com" environment="DEV" billing_code="SVCREAJV" security_contact="ludovic.bideau@suez.com" application_name="tests" created_by="GF5490" created_with="xOpsCLIG" date="2023-04-10_19:58:39"</v>
      </c>
      <c r="M31" s="33" t="str">
        <f>IF(Table_ResourceGroup[[#This Row],[Script]]="","",".")</f>
        <v>.</v>
      </c>
    </row>
    <row r="32" spans="1:13" x14ac:dyDescent="0.25">
      <c r="A32" s="13"/>
      <c r="B32" s="10"/>
      <c r="C32" s="5"/>
      <c r="D32" s="5"/>
      <c r="E32" s="5"/>
      <c r="F32" s="8"/>
      <c r="G32" s="8"/>
      <c r="H32" s="104" t="str" cm="1">
        <f t="array" ref="H32">GetSubscriptionID(Table_ResourceGroup[[#This Row],[Subscription]])</f>
        <v/>
      </c>
      <c r="I32" s="35" t="str" cm="1">
        <f t="array" ref="I32">CreateResourceName("rg",Table_ResourceGroup[[#This Row],[Application]],Table_ResourceGroup[[#This Row],[Customer/Project]],Table_ResourceGroup[[#This Row],[Environment]],Table_ResourceGroup[[#This Row],[region]])</f>
        <v/>
      </c>
      <c r="J32" s="6" t="str" cm="1">
        <f t="array" ref="J32">GetDsiEnvironment(Table_ResourceGroup[[#This Row],[Environment]])</f>
        <v/>
      </c>
      <c r="K32" s="35" t="str" cm="1">
        <f t="array" ref="K32">GetRegionName(Table_ResourceGroup[[#This Row],[region]])</f>
        <v/>
      </c>
      <c r="L32" s="36" t="str" cm="1">
        <f t="array" ref="L32">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2" s="33" t="str">
        <f>IF(Table_ResourceGroup[[#This Row],[Script]]="","",".")</f>
        <v/>
      </c>
    </row>
    <row r="33" spans="1:13" x14ac:dyDescent="0.25">
      <c r="A33" s="13" t="s">
        <v>179</v>
      </c>
      <c r="B33" s="10" t="s">
        <v>296</v>
      </c>
      <c r="C33" s="5" t="s">
        <v>297</v>
      </c>
      <c r="D33" s="5" t="s">
        <v>80</v>
      </c>
      <c r="E33" s="5" t="s">
        <v>40</v>
      </c>
      <c r="F33" s="8" t="s">
        <v>298</v>
      </c>
      <c r="G33" s="8" t="s">
        <v>299</v>
      </c>
      <c r="H33" s="104" t="str" cm="1">
        <f t="array" ref="H33">GetSubscriptionID(Table_ResourceGroup[[#This Row],[Subscription]])</f>
        <v>2681ae91-bcc8-46aa-8fdc-db2a51fea5d8</v>
      </c>
      <c r="I33" s="35" t="str" cm="1">
        <f t="array" ref="I33">CreateResourceName("rg",Table_ResourceGroup[[#This Row],[Application]],Table_ResourceGroup[[#This Row],[Customer/Project]],Table_ResourceGroup[[#This Row],[Environment]],Table_ResourceGroup[[#This Row],[region]])</f>
        <v>rg-aqwn_aqpt-publiacqua-prod-ne</v>
      </c>
      <c r="J33" s="6" t="str" cm="1">
        <f t="array" ref="J33">GetDsiEnvironment(Table_ResourceGroup[[#This Row],[Environment]])</f>
        <v>PRD</v>
      </c>
      <c r="K33" s="35" t="str" cm="1">
        <f t="array" ref="K33">GetRegionName(Table_ResourceGroup[[#This Row],[region]])</f>
        <v>northeurope</v>
      </c>
      <c r="L33" s="36" t="str" cm="1">
        <f t="array" ref="L33">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az account set --subscription 2681ae91-bcc8-46aa-8fdc-db2a51fea5d8_x000D__x000D_az group create --name rg-aqwn_aqpt-publiacqua-prod-ne --location northeurope --tags owner_contact="nicolas.belpois@suez.com" financial_contact="nicolas.belpois@suez.com" environment="PRD" billing_code="SV00S031" security_contact="ludovic.bideau@suez.com" application_name="aqwn_aqpt" created_by="GF5490" created_with="xOpsCLIG" date="2023-04-10_19:58:39"</v>
      </c>
      <c r="M33" s="33" t="str">
        <f>IF(Table_ResourceGroup[[#This Row],[Script]]="","",".")</f>
        <v>.</v>
      </c>
    </row>
    <row r="34" spans="1:13" x14ac:dyDescent="0.25">
      <c r="A34" s="13"/>
      <c r="B34" s="10"/>
      <c r="C34" s="5"/>
      <c r="D34" s="5"/>
      <c r="E34" s="5"/>
      <c r="F34" s="8"/>
      <c r="G34" s="8"/>
      <c r="H34" s="104" t="str" cm="1">
        <f t="array" ref="H34">GetSubscriptionID(Table_ResourceGroup[[#This Row],[Subscription]])</f>
        <v/>
      </c>
      <c r="I34" s="35" t="str" cm="1">
        <f t="array" ref="I34">CreateResourceName("rg",Table_ResourceGroup[[#This Row],[Application]],Table_ResourceGroup[[#This Row],[Customer/Project]],Table_ResourceGroup[[#This Row],[Environment]],Table_ResourceGroup[[#This Row],[region]])</f>
        <v/>
      </c>
      <c r="J34" s="6" t="str" cm="1">
        <f t="array" ref="J34">GetDsiEnvironment(Table_ResourceGroup[[#This Row],[Environment]])</f>
        <v/>
      </c>
      <c r="K34" s="35" t="str" cm="1">
        <f t="array" ref="K34">GetRegionName(Table_ResourceGroup[[#This Row],[region]])</f>
        <v/>
      </c>
      <c r="L34" s="36" t="str" cm="1">
        <f t="array" ref="L34">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4" s="33" t="str">
        <f>IF(Table_ResourceGroup[[#This Row],[Script]]="","",".")</f>
        <v/>
      </c>
    </row>
    <row r="35" spans="1:13" x14ac:dyDescent="0.25">
      <c r="A35" s="13"/>
      <c r="B35" s="10"/>
      <c r="C35" s="5"/>
      <c r="D35" s="5"/>
      <c r="E35" s="5"/>
      <c r="F35" s="8"/>
      <c r="G35" s="8"/>
      <c r="H35" s="104" t="str" cm="1">
        <f t="array" ref="H35">GetSubscriptionID(Table_ResourceGroup[[#This Row],[Subscription]])</f>
        <v/>
      </c>
      <c r="I35" s="35" t="str" cm="1">
        <f t="array" ref="I35">CreateResourceName("rg",Table_ResourceGroup[[#This Row],[Application]],Table_ResourceGroup[[#This Row],[Customer/Project]],Table_ResourceGroup[[#This Row],[Environment]],Table_ResourceGroup[[#This Row],[region]])</f>
        <v/>
      </c>
      <c r="J35" s="6" t="str" cm="1">
        <f t="array" ref="J35">GetDsiEnvironment(Table_ResourceGroup[[#This Row],[Environment]])</f>
        <v/>
      </c>
      <c r="K35" s="35" t="str" cm="1">
        <f t="array" ref="K35">GetRegionName(Table_ResourceGroup[[#This Row],[region]])</f>
        <v/>
      </c>
      <c r="L35" s="36" t="str" cm="1">
        <f t="array" ref="L35">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5" s="33" t="str">
        <f>IF(Table_ResourceGroup[[#This Row],[Script]]="","",".")</f>
        <v/>
      </c>
    </row>
    <row r="36" spans="1:13" x14ac:dyDescent="0.25">
      <c r="A36" s="13"/>
      <c r="B36" s="10"/>
      <c r="C36" s="5"/>
      <c r="D36" s="5"/>
      <c r="E36" s="5"/>
      <c r="F36" s="8"/>
      <c r="G36" s="8"/>
      <c r="H36" s="104" t="str" cm="1">
        <f t="array" ref="H36">GetSubscriptionID(Table_ResourceGroup[[#This Row],[Subscription]])</f>
        <v/>
      </c>
      <c r="I36" s="35" t="str" cm="1">
        <f t="array" ref="I36">CreateResourceName("rg",Table_ResourceGroup[[#This Row],[Application]],Table_ResourceGroup[[#This Row],[Customer/Project]],Table_ResourceGroup[[#This Row],[Environment]],Table_ResourceGroup[[#This Row],[region]])</f>
        <v/>
      </c>
      <c r="J36" s="6" t="str" cm="1">
        <f t="array" ref="J36">GetDsiEnvironment(Table_ResourceGroup[[#This Row],[Environment]])</f>
        <v/>
      </c>
      <c r="K36" s="35" t="str" cm="1">
        <f t="array" ref="K36">GetRegionName(Table_ResourceGroup[[#This Row],[region]])</f>
        <v/>
      </c>
      <c r="L36" s="36" t="str" cm="1">
        <f t="array" ref="L36">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6" s="33" t="str">
        <f>IF(Table_ResourceGroup[[#This Row],[Script]]="","",".")</f>
        <v/>
      </c>
    </row>
    <row r="37" spans="1:13" x14ac:dyDescent="0.25">
      <c r="A37" s="13"/>
      <c r="B37" s="10"/>
      <c r="C37" s="5"/>
      <c r="D37" s="5"/>
      <c r="E37" s="5"/>
      <c r="F37" s="8"/>
      <c r="G37" s="8"/>
      <c r="H37" s="104" t="str" cm="1">
        <f t="array" ref="H37">GetSubscriptionID(Table_ResourceGroup[[#This Row],[Subscription]])</f>
        <v/>
      </c>
      <c r="I37" s="35" t="str" cm="1">
        <f t="array" ref="I37">CreateResourceName("rg",Table_ResourceGroup[[#This Row],[Application]],Table_ResourceGroup[[#This Row],[Customer/Project]],Table_ResourceGroup[[#This Row],[Environment]],Table_ResourceGroup[[#This Row],[region]])</f>
        <v/>
      </c>
      <c r="J37" s="6" t="str" cm="1">
        <f t="array" ref="J37">GetDsiEnvironment(Table_ResourceGroup[[#This Row],[Environment]])</f>
        <v/>
      </c>
      <c r="K37" s="35" t="str" cm="1">
        <f t="array" ref="K37">GetRegionName(Table_ResourceGroup[[#This Row],[region]])</f>
        <v/>
      </c>
      <c r="L37" s="36" t="str" cm="1">
        <f t="array" ref="L37">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7" s="33" t="str">
        <f>IF(Table_ResourceGroup[[#This Row],[Script]]="","",".")</f>
        <v/>
      </c>
    </row>
    <row r="38" spans="1:13" x14ac:dyDescent="0.25">
      <c r="A38" s="13"/>
      <c r="B38" s="10"/>
      <c r="C38" s="5"/>
      <c r="D38" s="5"/>
      <c r="E38" s="5"/>
      <c r="F38" s="8"/>
      <c r="G38" s="8"/>
      <c r="H38" s="104" t="str" cm="1">
        <f t="array" ref="H38">GetSubscriptionID(Table_ResourceGroup[[#This Row],[Subscription]])</f>
        <v/>
      </c>
      <c r="I38" s="35" t="str" cm="1">
        <f t="array" ref="I38">CreateResourceName("rg",Table_ResourceGroup[[#This Row],[Application]],Table_ResourceGroup[[#This Row],[Customer/Project]],Table_ResourceGroup[[#This Row],[Environment]],Table_ResourceGroup[[#This Row],[region]])</f>
        <v/>
      </c>
      <c r="J38" s="6" t="str" cm="1">
        <f t="array" ref="J38">GetDsiEnvironment(Table_ResourceGroup[[#This Row],[Environment]])</f>
        <v/>
      </c>
      <c r="K38" s="35" t="str" cm="1">
        <f t="array" ref="K38">GetRegionName(Table_ResourceGroup[[#This Row],[region]])</f>
        <v/>
      </c>
      <c r="L38" s="36" t="str" cm="1">
        <f t="array" ref="L38">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8" s="33" t="str">
        <f>IF(Table_ResourceGroup[[#This Row],[Script]]="","",".")</f>
        <v/>
      </c>
    </row>
    <row r="39" spans="1:13" x14ac:dyDescent="0.25">
      <c r="A39" s="13"/>
      <c r="B39" s="10"/>
      <c r="C39" s="5"/>
      <c r="D39" s="5"/>
      <c r="E39" s="5"/>
      <c r="F39" s="8"/>
      <c r="G39" s="8"/>
      <c r="H39" s="104" t="str" cm="1">
        <f t="array" ref="H39">GetSubscriptionID(Table_ResourceGroup[[#This Row],[Subscription]])</f>
        <v/>
      </c>
      <c r="I39" s="35" t="str" cm="1">
        <f t="array" ref="I39">CreateResourceName("rg",Table_ResourceGroup[[#This Row],[Application]],Table_ResourceGroup[[#This Row],[Customer/Project]],Table_ResourceGroup[[#This Row],[Environment]],Table_ResourceGroup[[#This Row],[region]])</f>
        <v/>
      </c>
      <c r="J39" s="6" t="str" cm="1">
        <f t="array" ref="J39">GetDsiEnvironment(Table_ResourceGroup[[#This Row],[Environment]])</f>
        <v/>
      </c>
      <c r="K39" s="35" t="str" cm="1">
        <f t="array" ref="K39">GetRegionName(Table_ResourceGroup[[#This Row],[region]])</f>
        <v/>
      </c>
      <c r="L39" s="36" t="str" cm="1">
        <f t="array" ref="L39">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39" s="33" t="str">
        <f>IF(Table_ResourceGroup[[#This Row],[Script]]="","",".")</f>
        <v/>
      </c>
    </row>
    <row r="40" spans="1:13" x14ac:dyDescent="0.25">
      <c r="A40" s="13"/>
      <c r="B40" s="10"/>
      <c r="C40" s="5"/>
      <c r="D40" s="5"/>
      <c r="E40" s="5"/>
      <c r="F40" s="8"/>
      <c r="G40" s="8"/>
      <c r="H40" s="104" t="str" cm="1">
        <f t="array" ref="H40">GetSubscriptionID(Table_ResourceGroup[[#This Row],[Subscription]])</f>
        <v/>
      </c>
      <c r="I40" s="35" t="str" cm="1">
        <f t="array" ref="I40">CreateResourceName("rg",Table_ResourceGroup[[#This Row],[Application]],Table_ResourceGroup[[#This Row],[Customer/Project]],Table_ResourceGroup[[#This Row],[Environment]],Table_ResourceGroup[[#This Row],[region]])</f>
        <v/>
      </c>
      <c r="J40" s="6" t="str" cm="1">
        <f t="array" ref="J40">GetDsiEnvironment(Table_ResourceGroup[[#This Row],[Environment]])</f>
        <v/>
      </c>
      <c r="K40" s="35" t="str" cm="1">
        <f t="array" ref="K40">GetRegionName(Table_ResourceGroup[[#This Row],[region]])</f>
        <v/>
      </c>
      <c r="L40" s="36" t="str" cm="1">
        <f t="array" ref="L40">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0" s="33" t="str">
        <f>IF(Table_ResourceGroup[[#This Row],[Script]]="","",".")</f>
        <v/>
      </c>
    </row>
    <row r="41" spans="1:13" x14ac:dyDescent="0.25">
      <c r="A41" s="13"/>
      <c r="B41" s="10"/>
      <c r="C41" s="5"/>
      <c r="D41" s="5"/>
      <c r="E41" s="5"/>
      <c r="F41" s="8"/>
      <c r="G41" s="8"/>
      <c r="H41" s="104" t="str" cm="1">
        <f t="array" ref="H41">GetSubscriptionID(Table_ResourceGroup[[#This Row],[Subscription]])</f>
        <v/>
      </c>
      <c r="I41" s="35" t="str" cm="1">
        <f t="array" ref="I41">CreateResourceName("rg",Table_ResourceGroup[[#This Row],[Application]],Table_ResourceGroup[[#This Row],[Customer/Project]],Table_ResourceGroup[[#This Row],[Environment]],Table_ResourceGroup[[#This Row],[region]])</f>
        <v/>
      </c>
      <c r="J41" s="6" t="str" cm="1">
        <f t="array" ref="J41">GetDsiEnvironment(Table_ResourceGroup[[#This Row],[Environment]])</f>
        <v/>
      </c>
      <c r="K41" s="35" t="str" cm="1">
        <f t="array" ref="K41">GetRegionName(Table_ResourceGroup[[#This Row],[region]])</f>
        <v/>
      </c>
      <c r="L41" s="36" t="str" cm="1">
        <f t="array" ref="L41">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1" s="33" t="str">
        <f>IF(Table_ResourceGroup[[#This Row],[Script]]="","",".")</f>
        <v/>
      </c>
    </row>
    <row r="42" spans="1:13" x14ac:dyDescent="0.25">
      <c r="A42" s="13"/>
      <c r="B42" s="10"/>
      <c r="C42" s="5"/>
      <c r="D42" s="5"/>
      <c r="E42" s="5"/>
      <c r="F42" s="8"/>
      <c r="G42" s="8"/>
      <c r="H42" s="104" t="str" cm="1">
        <f t="array" ref="H42">GetSubscriptionID(Table_ResourceGroup[[#This Row],[Subscription]])</f>
        <v/>
      </c>
      <c r="I42" s="35" t="str" cm="1">
        <f t="array" ref="I42">CreateResourceName("rg",Table_ResourceGroup[[#This Row],[Application]],Table_ResourceGroup[[#This Row],[Customer/Project]],Table_ResourceGroup[[#This Row],[Environment]],Table_ResourceGroup[[#This Row],[region]])</f>
        <v/>
      </c>
      <c r="J42" s="6" t="str" cm="1">
        <f t="array" ref="J42">GetDsiEnvironment(Table_ResourceGroup[[#This Row],[Environment]])</f>
        <v/>
      </c>
      <c r="K42" s="35" t="str" cm="1">
        <f t="array" ref="K42">GetRegionName(Table_ResourceGroup[[#This Row],[region]])</f>
        <v/>
      </c>
      <c r="L42" s="36" t="str" cm="1">
        <f t="array" ref="L42">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2" s="33" t="str">
        <f>IF(Table_ResourceGroup[[#This Row],[Script]]="","",".")</f>
        <v/>
      </c>
    </row>
    <row r="43" spans="1:13" x14ac:dyDescent="0.25">
      <c r="A43" s="13"/>
      <c r="B43" s="10"/>
      <c r="C43" s="5"/>
      <c r="D43" s="5"/>
      <c r="E43" s="5"/>
      <c r="F43" s="8"/>
      <c r="G43" s="8"/>
      <c r="H43" s="104" t="str" cm="1">
        <f t="array" ref="H43">GetSubscriptionID(Table_ResourceGroup[[#This Row],[Subscription]])</f>
        <v/>
      </c>
      <c r="I43" s="35" t="str" cm="1">
        <f t="array" ref="I43">CreateResourceName("rg",Table_ResourceGroup[[#This Row],[Application]],Table_ResourceGroup[[#This Row],[Customer/Project]],Table_ResourceGroup[[#This Row],[Environment]],Table_ResourceGroup[[#This Row],[region]])</f>
        <v/>
      </c>
      <c r="J43" s="6" t="str" cm="1">
        <f t="array" ref="J43">GetDsiEnvironment(Table_ResourceGroup[[#This Row],[Environment]])</f>
        <v/>
      </c>
      <c r="K43" s="35" t="str" cm="1">
        <f t="array" ref="K43">GetRegionName(Table_ResourceGroup[[#This Row],[region]])</f>
        <v/>
      </c>
      <c r="L43" s="36" t="str" cm="1">
        <f t="array" ref="L43">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3" s="33" t="str">
        <f>IF(Table_ResourceGroup[[#This Row],[Script]]="","",".")</f>
        <v/>
      </c>
    </row>
    <row r="44" spans="1:13" x14ac:dyDescent="0.25">
      <c r="A44" s="13"/>
      <c r="B44" s="10"/>
      <c r="C44" s="5"/>
      <c r="D44" s="5"/>
      <c r="E44" s="5"/>
      <c r="F44" s="8"/>
      <c r="G44" s="8"/>
      <c r="H44" s="104" t="str" cm="1">
        <f t="array" ref="H44">GetSubscriptionID(Table_ResourceGroup[[#This Row],[Subscription]])</f>
        <v/>
      </c>
      <c r="I44" s="35" t="str" cm="1">
        <f t="array" ref="I44">CreateResourceName("rg",Table_ResourceGroup[[#This Row],[Application]],Table_ResourceGroup[[#This Row],[Customer/Project]],Table_ResourceGroup[[#This Row],[Environment]],Table_ResourceGroup[[#This Row],[region]])</f>
        <v/>
      </c>
      <c r="J44" s="6" t="str" cm="1">
        <f t="array" ref="J44">GetDsiEnvironment(Table_ResourceGroup[[#This Row],[Environment]])</f>
        <v/>
      </c>
      <c r="K44" s="35" t="str" cm="1">
        <f t="array" ref="K44">GetRegionName(Table_ResourceGroup[[#This Row],[region]])</f>
        <v/>
      </c>
      <c r="L44" s="36" t="str" cm="1">
        <f t="array" ref="L44">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4" s="33" t="str">
        <f>IF(Table_ResourceGroup[[#This Row],[Script]]="","",".")</f>
        <v/>
      </c>
    </row>
    <row r="45" spans="1:13" x14ac:dyDescent="0.25">
      <c r="A45" s="13"/>
      <c r="B45" s="10"/>
      <c r="C45" s="5"/>
      <c r="D45" s="5"/>
      <c r="E45" s="5"/>
      <c r="F45" s="8"/>
      <c r="G45" s="8"/>
      <c r="H45" s="104" t="str" cm="1">
        <f t="array" ref="H45">GetSubscriptionID(Table_ResourceGroup[[#This Row],[Subscription]])</f>
        <v/>
      </c>
      <c r="I45" s="35" t="str" cm="1">
        <f t="array" ref="I45">CreateResourceName("rg",Table_ResourceGroup[[#This Row],[Application]],Table_ResourceGroup[[#This Row],[Customer/Project]],Table_ResourceGroup[[#This Row],[Environment]],Table_ResourceGroup[[#This Row],[region]])</f>
        <v/>
      </c>
      <c r="J45" s="6" t="str" cm="1">
        <f t="array" ref="J45">GetDsiEnvironment(Table_ResourceGroup[[#This Row],[Environment]])</f>
        <v/>
      </c>
      <c r="K45" s="35" t="str" cm="1">
        <f t="array" ref="K45">GetRegionName(Table_ResourceGroup[[#This Row],[region]])</f>
        <v/>
      </c>
      <c r="L45" s="36" t="str" cm="1">
        <f t="array" ref="L45">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5" s="33" t="str">
        <f>IF(Table_ResourceGroup[[#This Row],[Script]]="","",".")</f>
        <v/>
      </c>
    </row>
    <row r="46" spans="1:13" x14ac:dyDescent="0.25">
      <c r="A46" s="13"/>
      <c r="B46" s="10"/>
      <c r="C46" s="8"/>
      <c r="D46" s="8"/>
      <c r="E46" s="8"/>
      <c r="F46" s="8"/>
      <c r="G46" s="8"/>
      <c r="H46" s="98" t="str" cm="1">
        <f t="array" ref="H46">GetSubscriptionID(Table_ResourceGroup[[#This Row],[Subscription]])</f>
        <v/>
      </c>
      <c r="I46" s="9" t="str" cm="1">
        <f t="array" ref="I46">CreateResourceName("rg",Table_ResourceGroup[[#This Row],[Application]],Table_ResourceGroup[[#This Row],[Customer/Project]],Table_ResourceGroup[[#This Row],[Environment]],Table_ResourceGroup[[#This Row],[region]])</f>
        <v/>
      </c>
      <c r="J46" s="11" t="str" cm="1">
        <f t="array" ref="J46">GetDsiEnvironment(Table_ResourceGroup[[#This Row],[Environment]])</f>
        <v/>
      </c>
      <c r="K46" s="12" t="str" cm="1">
        <f t="array" ref="K46">GetRegionName(Table_ResourceGroup[[#This Row],[region]])</f>
        <v/>
      </c>
      <c r="L46" s="31" t="str" cm="1">
        <f t="array" ref="L46">CLI_CreateResourceGroupInSubscription(Table_ResourceGroup[[#This Row],[Subscription ID]],Table_ResourceGroup[[#This Row],[Resource Group name]],Table_ResourceGroup[[#This Row],[Location]],Table_ResourceGroup[[#This Row],[owner &amp; financial_contact]],Table_ResourceGroup[[#This Row],[Envir]],Table_ResourceGroup[[#This Row],[billing_code]],"",Table_ResourceGroup[[#This Row],[Application]])</f>
        <v/>
      </c>
      <c r="M46" s="34" t="str">
        <f>IF(Table_ResourceGroup[[#This Row],[Script]]="","",".")</f>
        <v/>
      </c>
    </row>
    <row r="47" spans="1:13" x14ac:dyDescent="0.25">
      <c r="L47" s="1" t="s">
        <v>82</v>
      </c>
    </row>
  </sheetData>
  <conditionalFormatting sqref="J13:K46">
    <cfRule type="expression" dxfId="155" priority="1">
      <formula>J13="Unknown"</formula>
    </cfRule>
  </conditionalFormatting>
  <hyperlinks>
    <hyperlink ref="F16" r:id="rId1" xr:uid="{0897A430-EAEA-4EEF-B19E-E2AAA4D6A0D4}"/>
    <hyperlink ref="F24" r:id="rId2" xr:uid="{1500728A-59E2-49BE-AAEA-FC56126BAC96}"/>
    <hyperlink ref="F26" r:id="rId3" xr:uid="{25BA4C58-4EFB-401D-8DD3-256A4268F96E}"/>
    <hyperlink ref="F33" r:id="rId4" xr:uid="{38F8B67D-60B7-4AA8-B15A-EFE481F07A77}"/>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8673" r:id="rId8" name="Button_ResourceGroup">
              <controlPr defaultSize="0" print="0" autoFill="0" autoPict="0" macro="[0]!RG.CopyScriptResourceGroup">
                <anchor moveWithCells="1" sizeWithCells="1">
                  <from>
                    <xdr:col>7</xdr:col>
                    <xdr:colOff>2171700</xdr:colOff>
                    <xdr:row>6</xdr:row>
                    <xdr:rowOff>60960</xdr:rowOff>
                  </from>
                  <to>
                    <xdr:col>8</xdr:col>
                    <xdr:colOff>1028700</xdr:colOff>
                    <xdr:row>8</xdr:row>
                    <xdr:rowOff>22860</xdr:rowOff>
                  </to>
                </anchor>
              </controlPr>
            </control>
          </mc:Choice>
        </mc:AlternateContent>
        <mc:AlternateContent xmlns:mc="http://schemas.openxmlformats.org/markup-compatibility/2006">
          <mc:Choice Requires="x14">
            <control shapeId="28677" r:id="rId9" name="Button 5">
              <controlPr defaultSize="0" print="0" autoFill="0" autoPict="0" macro="[0]!RG.Execute">
                <anchor moveWithCells="1" sizeWithCells="1">
                  <from>
                    <xdr:col>8</xdr:col>
                    <xdr:colOff>1127760</xdr:colOff>
                    <xdr:row>6</xdr:row>
                    <xdr:rowOff>45720</xdr:rowOff>
                  </from>
                  <to>
                    <xdr:col>9</xdr:col>
                    <xdr:colOff>327660</xdr:colOff>
                    <xdr:row>8</xdr:row>
                    <xdr:rowOff>22860</xdr:rowOff>
                  </to>
                </anchor>
              </controlPr>
            </control>
          </mc:Choice>
        </mc:AlternateContent>
      </controls>
    </mc:Choice>
  </mc:AlternateContent>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EA50D70A-B89A-4BA6-B6F2-4BDA9318BE44}">
          <x14:formula1>
            <xm:f>'#Data'!$G$2:$G$7</xm:f>
          </x14:formula1>
          <xm:sqref>A13:A46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67654-C32B-4D94-882D-B906D121941B}">
  <sheetPr codeName="AgwSuez">
    <tabColor theme="9" tint="-0.249977111117893"/>
  </sheetPr>
  <dimension ref="A2:M28"/>
  <sheetViews>
    <sheetView showGridLines="0" workbookViewId="0">
      <selection activeCell="B3" sqref="B3:D3"/>
    </sheetView>
  </sheetViews>
  <sheetFormatPr defaultColWidth="8.88671875" defaultRowHeight="12" x14ac:dyDescent="0.25"/>
  <cols>
    <col min="1" max="1" width="25.109375" style="1" bestFit="1" customWidth="1"/>
    <col min="2" max="2" width="11.109375" style="1" bestFit="1" customWidth="1"/>
    <col min="3" max="3" width="8.33203125" style="1" bestFit="1" customWidth="1"/>
    <col min="4" max="4" width="10.6640625" style="1" customWidth="1"/>
    <col min="5" max="5" width="6.88671875" style="1" bestFit="1" customWidth="1"/>
    <col min="6" max="6" width="9.33203125" style="1" customWidth="1"/>
    <col min="7" max="7" width="8.6640625" style="1" bestFit="1" customWidth="1"/>
    <col min="8" max="8" width="6" style="1" bestFit="1" customWidth="1"/>
    <col min="9" max="9" width="6" style="1" customWidth="1"/>
    <col min="10" max="10" width="28.109375" style="1" customWidth="1"/>
    <col min="11" max="11" width="24.6640625" style="1" customWidth="1"/>
    <col min="12" max="12" width="4.5546875" style="1" customWidth="1"/>
    <col min="13" max="13" width="2.5546875" style="1" customWidth="1"/>
    <col min="14" max="14" width="2.6640625" style="1" customWidth="1"/>
    <col min="15" max="16384" width="8.88671875" style="1"/>
  </cols>
  <sheetData>
    <row r="2" spans="1:12" x14ac:dyDescent="0.25">
      <c r="A2" s="48" t="s">
        <v>55</v>
      </c>
      <c r="B2" s="115" t="s">
        <v>181</v>
      </c>
    </row>
    <row r="3" spans="1:12" ht="12" customHeight="1" x14ac:dyDescent="0.25">
      <c r="A3" s="48" t="s">
        <v>89</v>
      </c>
      <c r="B3" s="160" t="str" cm="1">
        <f t="array" ref="B3">GetSubscriptionID(B2)</f>
        <v>af9f6198-6bb3-4dcf-aa26-3626cb338b4d</v>
      </c>
      <c r="C3" s="161"/>
      <c r="D3" s="162"/>
      <c r="K3" s="169" t="s">
        <v>217</v>
      </c>
      <c r="L3" s="1" t="s">
        <v>219</v>
      </c>
    </row>
    <row r="4" spans="1:12" x14ac:dyDescent="0.25">
      <c r="A4" s="48" t="s">
        <v>148</v>
      </c>
      <c r="B4" s="163"/>
      <c r="C4" s="164"/>
      <c r="D4" s="165"/>
      <c r="K4" s="172"/>
      <c r="L4" s="1" t="s">
        <v>218</v>
      </c>
    </row>
    <row r="5" spans="1:12" x14ac:dyDescent="0.25">
      <c r="A5" s="48" t="s">
        <v>129</v>
      </c>
      <c r="B5" s="163" t="s">
        <v>208</v>
      </c>
      <c r="C5" s="164"/>
      <c r="D5" s="165"/>
      <c r="K5" s="172"/>
    </row>
    <row r="6" spans="1:12" x14ac:dyDescent="0.25">
      <c r="K6" s="172"/>
    </row>
    <row r="7" spans="1:12" x14ac:dyDescent="0.25">
      <c r="A7" s="48" t="s">
        <v>147</v>
      </c>
      <c r="B7" s="163" t="s">
        <v>189</v>
      </c>
      <c r="C7" s="164"/>
      <c r="D7" s="165"/>
      <c r="K7" s="172"/>
    </row>
    <row r="8" spans="1:12" x14ac:dyDescent="0.25">
      <c r="A8" s="48" t="s">
        <v>92</v>
      </c>
      <c r="B8" s="163" t="s">
        <v>205</v>
      </c>
      <c r="C8" s="164"/>
      <c r="D8" s="165"/>
      <c r="K8" s="175"/>
    </row>
    <row r="9" spans="1:12" x14ac:dyDescent="0.25">
      <c r="A9" s="48" t="s">
        <v>144</v>
      </c>
      <c r="B9" s="163" t="s">
        <v>206</v>
      </c>
      <c r="C9" s="164"/>
      <c r="D9" s="165"/>
    </row>
    <row r="10" spans="1:12" x14ac:dyDescent="0.25">
      <c r="A10" s="48" t="s">
        <v>91</v>
      </c>
      <c r="B10" s="163" t="s">
        <v>207</v>
      </c>
      <c r="C10" s="164"/>
      <c r="D10" s="165"/>
      <c r="K10" s="169" t="s">
        <v>220</v>
      </c>
      <c r="L10" s="1" t="s">
        <v>221</v>
      </c>
    </row>
    <row r="11" spans="1:12" x14ac:dyDescent="0.25">
      <c r="A11" s="48" t="s">
        <v>160</v>
      </c>
      <c r="B11" s="163" t="s">
        <v>208</v>
      </c>
      <c r="C11" s="164"/>
      <c r="D11" s="165"/>
      <c r="K11" s="172"/>
    </row>
    <row r="12" spans="1:12" x14ac:dyDescent="0.25">
      <c r="K12" s="172"/>
    </row>
    <row r="13" spans="1:12" x14ac:dyDescent="0.25">
      <c r="K13" s="172"/>
    </row>
    <row r="14" spans="1:12" x14ac:dyDescent="0.25">
      <c r="K14" s="172"/>
    </row>
    <row r="15" spans="1:12" x14ac:dyDescent="0.25">
      <c r="K15" s="175"/>
    </row>
    <row r="18" spans="1:13" x14ac:dyDescent="0.25">
      <c r="A18" s="45" t="s">
        <v>202</v>
      </c>
    </row>
    <row r="19" spans="1:13" x14ac:dyDescent="0.25">
      <c r="A19" s="46" t="s">
        <v>93</v>
      </c>
      <c r="B19" s="83" t="s">
        <v>191</v>
      </c>
      <c r="C19" s="166" t="s">
        <v>204</v>
      </c>
      <c r="D19" s="167"/>
      <c r="E19" s="168"/>
      <c r="F19" s="166" t="s">
        <v>44</v>
      </c>
      <c r="G19" s="167"/>
      <c r="H19" s="167"/>
      <c r="I19" s="167"/>
      <c r="J19" s="167"/>
      <c r="K19" s="167"/>
      <c r="L19" s="167"/>
      <c r="M19" s="1" t="s">
        <v>84</v>
      </c>
    </row>
    <row r="20" spans="1:13" ht="12" customHeight="1" x14ac:dyDescent="0.25">
      <c r="A20" s="47" t="s">
        <v>51</v>
      </c>
      <c r="B20" s="55" t="s">
        <v>192</v>
      </c>
      <c r="C20" s="114" t="str" cm="1">
        <f t="array" ref="C20">CreateResourceName(B19,B20,B21,"backend")</f>
        <v>aqwn-sef-preprod-backend</v>
      </c>
      <c r="D20" s="109"/>
      <c r="E20" s="110"/>
      <c r="F20" s="169" t="str" cm="1">
        <f t="array" ref="F20">CLI_SelectSubscription($B$3) &amp; CHAR(13) &amp; CHAR(10) &amp; CLI_CreateAppGatewayBackendPool($B$7,$B$8,C20,B22)</f>
        <v>az account set --subscription af9f6198-6bb3-4dcf-aa26-3626cb338b4d_x000D_
az network application-gateway address-pool create  --resource-group rg-infra-network-northeurope --gateway-name agw-suez-prod-ne --name aqwn-sef-preprod-backend --servers 10.191.218.69</v>
      </c>
      <c r="G20" s="170"/>
      <c r="H20" s="170"/>
      <c r="I20" s="170"/>
      <c r="J20" s="170"/>
      <c r="K20" s="170"/>
      <c r="L20" s="171"/>
    </row>
    <row r="21" spans="1:13" x14ac:dyDescent="0.25">
      <c r="A21" s="47" t="s">
        <v>50</v>
      </c>
      <c r="B21" s="55" t="s">
        <v>79</v>
      </c>
      <c r="C21" s="107"/>
      <c r="D21" s="108"/>
      <c r="E21" s="111"/>
      <c r="F21" s="172"/>
      <c r="G21" s="173"/>
      <c r="H21" s="173"/>
      <c r="I21" s="173"/>
      <c r="J21" s="173"/>
      <c r="K21" s="173"/>
      <c r="L21" s="174"/>
    </row>
    <row r="22" spans="1:13" x14ac:dyDescent="0.25">
      <c r="A22" s="47" t="s">
        <v>94</v>
      </c>
      <c r="B22" s="55" t="s">
        <v>215</v>
      </c>
      <c r="C22" s="112"/>
      <c r="D22" s="106"/>
      <c r="E22" s="113"/>
      <c r="F22" s="175"/>
      <c r="G22" s="176"/>
      <c r="H22" s="176"/>
      <c r="I22" s="176"/>
      <c r="J22" s="176"/>
      <c r="K22" s="176"/>
      <c r="L22" s="177"/>
    </row>
    <row r="24" spans="1:13" x14ac:dyDescent="0.25">
      <c r="A24" s="44" t="s">
        <v>203</v>
      </c>
    </row>
    <row r="25" spans="1:13" x14ac:dyDescent="0.25">
      <c r="A25" s="43" t="s">
        <v>105</v>
      </c>
      <c r="B25" s="46" t="s">
        <v>98</v>
      </c>
      <c r="C25" s="46" t="s">
        <v>93</v>
      </c>
      <c r="D25" s="47" t="s">
        <v>51</v>
      </c>
      <c r="E25" s="47" t="s">
        <v>190</v>
      </c>
      <c r="F25" s="99" t="s">
        <v>108</v>
      </c>
      <c r="G25" s="47" t="s">
        <v>99</v>
      </c>
      <c r="H25" s="54" t="s">
        <v>37</v>
      </c>
      <c r="I25" s="54" t="s">
        <v>142</v>
      </c>
      <c r="J25" s="99" t="s">
        <v>120</v>
      </c>
      <c r="K25" s="94" t="s">
        <v>44</v>
      </c>
      <c r="L25" s="95" t="s">
        <v>84</v>
      </c>
    </row>
    <row r="26" spans="1:13" ht="24" x14ac:dyDescent="0.25">
      <c r="A26" s="101" t="s">
        <v>216</v>
      </c>
      <c r="B26" s="83"/>
      <c r="C26" s="83" t="s">
        <v>191</v>
      </c>
      <c r="D26" s="55" t="s">
        <v>192</v>
      </c>
      <c r="E26" s="55" t="s">
        <v>79</v>
      </c>
      <c r="F26" s="55">
        <v>100</v>
      </c>
      <c r="G26" s="55" t="s">
        <v>101</v>
      </c>
      <c r="H26" s="55">
        <v>80</v>
      </c>
      <c r="I26" s="55">
        <v>120</v>
      </c>
      <c r="J26" s="100" t="str" cm="1">
        <f t="array" ref="J26">IF(Table_AppGatewaySuez[[#This Row],[Product]]="","",GetHostName(Table_AppGatewaySuez[[#This Row],[Component]],Table_AppGatewaySuez[[#This Row],[Product]],Table_AppGatewaySuez[[#This Row],[Customer]],Table_AppGatewaySuez[[#This Row],[Env.]],$B$5))</f>
        <v>aqwn-sef-preprod.app.3s-sw.green.intra</v>
      </c>
      <c r="K26" s="102" t="str" cm="1">
        <f t="array" ref="K26">IF(Table_AppGatewaySuez[[#This Row],[Backend pool name]]="","",CLI_OpenAppGatewayFlow($B$3,$B$4,$B$5,$B$7,$B$8,$B$9,$B$10,$B$11,Table_AppGatewaySuez[[#This Row],[Host name]],Table_AppGatewaySuez[[#This Row],[Backend pool name]],Table_AppGatewaySuez[[#This Row],[Component]],Table_AppGatewaySuez[[#This Row],[Product]],Table_AppGatewaySuez[[#This Row],[Customer]],Table_AppGatewaySuez[[#This Row],[Env.]],Table_AppGatewaySuez[[#This Row],[Protocol]],Table_AppGatewaySuez[[#This Row],[Port]],Table_AppGatewaySuez[[#This Row],[Timeout]],Table_AppGatewaySuez[[#This Row],[Priority]]))</f>
        <v>az account set --subscription af9f6198-6bb3-4dcf-aa26-3626cb338b4d_x000D__x000D_az network application-gateway http-settings create --resource-group rg-infra-network-northeurope --gateway-name agw-suez-prod-ne --name aqwn-sef-preprod-backend_settings --port 80 --timeout 120_x000D__x000D_az network application-gateway http-listener create --resource-group rg-infra-network-northeurope --gateway-name agw-suez-prod-ne --frontend-port port_80 --name aqwn-sef-preprod-http_listener --frontend-ip appGwPrivateFrontendIpIPv4 --host-name aqwn-sef-preprod.app.3s-sw.green.intra_x000D__x000D_az network application-gateway http-listener create --name aqwn-sef-preprod-https_listener --resource-group rg-infra-network-northeurope --gateway-name agw-suez-prod-ne --frontend-ip appGwPrivateFrontendIpIPv4 --frontend-port port_443 --ssl-cert app.3s-sw.green.intra --host-name aqwn-sef-preprod.app.3s-sw.green.intra_x000D__x000D_az network application-gateway rule create --resource-group rg-infra-network-northeurope --gateway-name agw-suez-prod-ne --name aqwn-sef-preprod-https_routing_rule --http-listener aqwn-sef-preprod-https_listener --rule-type Basic --address-pool aqwn-sef-preprod-backend --http-settings aqwn-sef-preprod-backend_settings --priority 100_x000D__x000D_az network application-gateway redirect-config create --resource-group rg-infra-network-northeurope --gateway-name agw-suez-prod-ne --name aqwn-sef-preprod-redirect --type Permanent --include-path true --include-query-string true --target-listener aqwn-sef-preprod-https_listener_x000D__x000D_az network application-gateway rule create --resource-group rg-infra-network-northeurope --gateway-name agw-suez-prod-ne --name aqwn-sef-preprod-http_redirect_routing_rule --http-listener aqwn-sef-preprod-http_listener --rule-type Basic --redirect-config aqwn-sef-preprod-redirect --priority 101_x000D__x000D_</v>
      </c>
      <c r="L26" s="103" t="s">
        <v>84</v>
      </c>
    </row>
    <row r="27" spans="1:13" x14ac:dyDescent="0.25">
      <c r="A27" s="101"/>
      <c r="B27" s="55"/>
      <c r="C27" s="55"/>
      <c r="D27" s="55"/>
      <c r="E27" s="55"/>
      <c r="F27" s="55"/>
      <c r="G27" s="55"/>
      <c r="H27" s="55"/>
      <c r="I27" s="55"/>
      <c r="J27" s="100" t="str" cm="1">
        <f t="array" ref="J27">IF(Table_AppGatewaySuez[[#This Row],[Product]]="","",GetHostName(Table_AppGatewaySuez[[#This Row],[Component]],Table_AppGatewaySuez[[#This Row],[Product]],Table_AppGatewaySuez[[#This Row],[Customer]],Table_AppGatewaySuez[[#This Row],[Env.]],$B$5))</f>
        <v/>
      </c>
      <c r="K27" s="102" t="str" cm="1">
        <f t="array" ref="K27">IF(Table_AppGatewaySuez[[#This Row],[Backend pool name]]="","",CLI_OpenAppGatewayFlow($B$3,$B$4,$B$5,$B$7,$B$8,$B$9,$B$10,$B$11,Table_AppGatewaySuez[[#This Row],[Host name]],Table_AppGatewaySuez[[#This Row],[Backend pool name]],Table_AppGatewaySuez[[#This Row],[Component]],Table_AppGatewaySuez[[#This Row],[Product]],Table_AppGatewaySuez[[#This Row],[Customer]],Table_AppGatewaySuez[[#This Row],[Env.]],Table_AppGatewaySuez[[#This Row],[Protocol]],Table_AppGatewaySuez[[#This Row],[Port]],Table_AppGatewaySuez[[#This Row],[Timeout]],Table_AppGatewaySuez[[#This Row],[Priority]]))</f>
        <v/>
      </c>
      <c r="L27" s="103" t="str">
        <f>IF(Table_AppGatewaySuez[[#This Row],[Script]]="","",".")</f>
        <v/>
      </c>
    </row>
    <row r="28" spans="1:13" x14ac:dyDescent="0.25">
      <c r="A28" s="101"/>
      <c r="B28" s="55"/>
      <c r="C28" s="55"/>
      <c r="D28" s="55"/>
      <c r="E28" s="55"/>
      <c r="F28" s="55"/>
      <c r="G28" s="55"/>
      <c r="H28" s="55"/>
      <c r="I28" s="55"/>
      <c r="J28" s="100" t="str" cm="1">
        <f t="array" ref="J28">IF(Table_AppGatewaySuez[[#This Row],[Product]]="","",GetHostName(Table_AppGatewaySuez[[#This Row],[Component]],Table_AppGatewaySuez[[#This Row],[Product]],Table_AppGatewaySuez[[#This Row],[Customer]],Table_AppGatewaySuez[[#This Row],[Env.]],$B$5))</f>
        <v/>
      </c>
      <c r="K28" s="102" t="str" cm="1">
        <f t="array" ref="K28">IF(Table_AppGatewaySuez[[#This Row],[Backend pool name]]="","",CLI_OpenAppGatewayFlow($B$3,$B$4,$B$5,$B$7,$B$8,$B$9,$B$10,$B$11,Table_AppGatewaySuez[[#This Row],[Host name]],Table_AppGatewaySuez[[#This Row],[Backend pool name]],Table_AppGatewaySuez[[#This Row],[Component]],Table_AppGatewaySuez[[#This Row],[Product]],Table_AppGatewaySuez[[#This Row],[Customer]],Table_AppGatewaySuez[[#This Row],[Env.]],Table_AppGatewaySuez[[#This Row],[Protocol]],Table_AppGatewaySuez[[#This Row],[Port]],Table_AppGatewaySuez[[#This Row],[Timeout]],Table_AppGatewaySuez[[#This Row],[Priority]]))</f>
        <v/>
      </c>
      <c r="L28" s="103" t="str">
        <f>IF(Table_AppGatewaySuez[[#This Row],[Script]]="","",".")</f>
        <v/>
      </c>
    </row>
  </sheetData>
  <mergeCells count="13">
    <mergeCell ref="B3:D3"/>
    <mergeCell ref="B11:D11"/>
    <mergeCell ref="C19:E19"/>
    <mergeCell ref="F19:L19"/>
    <mergeCell ref="F20:L22"/>
    <mergeCell ref="B4:D4"/>
    <mergeCell ref="B5:D5"/>
    <mergeCell ref="B7:D7"/>
    <mergeCell ref="B8:D8"/>
    <mergeCell ref="B9:D9"/>
    <mergeCell ref="B10:D10"/>
    <mergeCell ref="K3:K8"/>
    <mergeCell ref="K10:K1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_ResourceGroup">
              <controlPr defaultSize="0" print="0" autoFill="0" autoPict="0" macro="[0]!AgwSuez.CopyScriptAgwSuez">
                <anchor moveWithCells="1" sizeWithCells="1">
                  <from>
                    <xdr:col>12</xdr:col>
                    <xdr:colOff>76200</xdr:colOff>
                    <xdr:row>25</xdr:row>
                    <xdr:rowOff>76200</xdr:rowOff>
                  </from>
                  <to>
                    <xdr:col>15</xdr:col>
                    <xdr:colOff>60960</xdr:colOff>
                    <xdr:row>25</xdr:row>
                    <xdr:rowOff>609600</xdr:rowOff>
                  </to>
                </anchor>
              </controlPr>
            </control>
          </mc:Choice>
        </mc:AlternateContent>
        <mc:AlternateContent xmlns:mc="http://schemas.openxmlformats.org/markup-compatibility/2006">
          <mc:Choice Requires="x14">
            <control shapeId="53250" r:id="rId5" name="Button 2">
              <controlPr defaultSize="0" print="0" autoFill="0" autoPict="0" macro="[0]!AgwSuez.ExecuteBackendPoolScriptAgwSuez">
                <anchor moveWithCells="1" sizeWithCells="1">
                  <from>
                    <xdr:col>12</xdr:col>
                    <xdr:colOff>68580</xdr:colOff>
                    <xdr:row>19</xdr:row>
                    <xdr:rowOff>45720</xdr:rowOff>
                  </from>
                  <to>
                    <xdr:col>15</xdr:col>
                    <xdr:colOff>30480</xdr:colOff>
                    <xdr:row>21</xdr:row>
                    <xdr:rowOff>45720</xdr:rowOff>
                  </to>
                </anchor>
              </controlPr>
            </control>
          </mc:Choice>
        </mc:AlternateContent>
        <mc:AlternateContent xmlns:mc="http://schemas.openxmlformats.org/markup-compatibility/2006">
          <mc:Choice Requires="x14">
            <control shapeId="53251" r:id="rId6" name="Button 3">
              <controlPr defaultSize="0" print="0" autoFill="0" autoPict="0" macro="[0]!AgwSuez.ExecuteAgwSuez">
                <anchor moveWithCells="1" sizeWithCells="1">
                  <from>
                    <xdr:col>12</xdr:col>
                    <xdr:colOff>106680</xdr:colOff>
                    <xdr:row>26</xdr:row>
                    <xdr:rowOff>60960</xdr:rowOff>
                  </from>
                  <to>
                    <xdr:col>15</xdr:col>
                    <xdr:colOff>76200</xdr:colOff>
                    <xdr:row>28</xdr:row>
                    <xdr:rowOff>30480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2A20423-4C2C-44D0-A534-A9FD18D2BC0B}">
          <x14:formula1>
            <xm:f>'#Data'!$G$2:$G$7</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66AAD-2F30-43AC-8610-3C9526E15651}">
  <sheetPr codeName="AgwIS">
    <tabColor theme="9" tint="-0.249977111117893"/>
  </sheetPr>
  <dimension ref="A2:M28"/>
  <sheetViews>
    <sheetView showGridLines="0" topLeftCell="A4" workbookViewId="0">
      <selection activeCell="B3" sqref="B3:D3"/>
    </sheetView>
  </sheetViews>
  <sheetFormatPr defaultColWidth="8.88671875" defaultRowHeight="12" x14ac:dyDescent="0.25"/>
  <cols>
    <col min="1" max="1" width="25.109375" style="1" bestFit="1" customWidth="1"/>
    <col min="2" max="2" width="11.109375" style="1" bestFit="1" customWidth="1"/>
    <col min="3" max="3" width="8.33203125" style="1" bestFit="1" customWidth="1"/>
    <col min="4" max="4" width="10.6640625" style="1" customWidth="1"/>
    <col min="5" max="5" width="6.88671875" style="1" bestFit="1" customWidth="1"/>
    <col min="6" max="6" width="6.109375" style="1" customWidth="1"/>
    <col min="7" max="7" width="8.6640625" style="1" bestFit="1" customWidth="1"/>
    <col min="8" max="8" width="6" style="1" bestFit="1" customWidth="1"/>
    <col min="9" max="9" width="6" style="1" customWidth="1"/>
    <col min="10" max="10" width="28.109375" style="1" customWidth="1"/>
    <col min="11" max="11" width="16.88671875" style="1" customWidth="1"/>
    <col min="12" max="12" width="4.5546875" style="1" customWidth="1"/>
    <col min="13" max="13" width="2.5546875" style="1" customWidth="1"/>
    <col min="14" max="14" width="2.6640625" style="1" customWidth="1"/>
    <col min="15" max="16384" width="8.88671875" style="1"/>
  </cols>
  <sheetData>
    <row r="2" spans="1:4" x14ac:dyDescent="0.25">
      <c r="A2" s="48" t="s">
        <v>55</v>
      </c>
      <c r="B2" s="115" t="s">
        <v>183</v>
      </c>
    </row>
    <row r="3" spans="1:4" ht="12" customHeight="1" x14ac:dyDescent="0.25">
      <c r="A3" s="48" t="s">
        <v>89</v>
      </c>
      <c r="B3" s="160" t="str" cm="1">
        <f t="array" ref="B3">GetSubscriptionID(B2)</f>
        <v>55173195-9a7e-486e-8c8d-4740bcbcb111</v>
      </c>
      <c r="C3" s="161"/>
      <c r="D3" s="162"/>
    </row>
    <row r="4" spans="1:4" x14ac:dyDescent="0.25">
      <c r="A4" s="48" t="s">
        <v>148</v>
      </c>
      <c r="B4" s="163" t="s">
        <v>287</v>
      </c>
      <c r="C4" s="164"/>
      <c r="D4" s="165"/>
    </row>
    <row r="5" spans="1:4" x14ac:dyDescent="0.25">
      <c r="A5" s="48" t="s">
        <v>129</v>
      </c>
      <c r="B5" s="163" t="s">
        <v>128</v>
      </c>
      <c r="C5" s="164"/>
      <c r="D5" s="165"/>
    </row>
    <row r="7" spans="1:4" x14ac:dyDescent="0.25">
      <c r="A7" s="48" t="s">
        <v>147</v>
      </c>
      <c r="B7" s="163" t="s">
        <v>287</v>
      </c>
      <c r="C7" s="164"/>
      <c r="D7" s="165"/>
    </row>
    <row r="8" spans="1:4" x14ac:dyDescent="0.25">
      <c r="A8" s="48" t="s">
        <v>92</v>
      </c>
      <c r="B8" s="163" t="s">
        <v>288</v>
      </c>
      <c r="C8" s="164"/>
      <c r="D8" s="165"/>
    </row>
    <row r="9" spans="1:4" x14ac:dyDescent="0.25">
      <c r="A9" s="48" t="s">
        <v>144</v>
      </c>
      <c r="B9" s="163" t="s">
        <v>289</v>
      </c>
      <c r="C9" s="164"/>
      <c r="D9" s="165"/>
    </row>
    <row r="10" spans="1:4" x14ac:dyDescent="0.25">
      <c r="A10" s="48" t="s">
        <v>91</v>
      </c>
      <c r="B10" s="163" t="s">
        <v>290</v>
      </c>
      <c r="C10" s="164"/>
      <c r="D10" s="165"/>
    </row>
    <row r="11" spans="1:4" x14ac:dyDescent="0.25">
      <c r="A11" s="48" t="s">
        <v>160</v>
      </c>
      <c r="B11" s="163" t="s">
        <v>131</v>
      </c>
      <c r="C11" s="164"/>
      <c r="D11" s="165"/>
    </row>
    <row r="18" spans="1:13" x14ac:dyDescent="0.25">
      <c r="A18" s="45" t="s">
        <v>202</v>
      </c>
    </row>
    <row r="19" spans="1:13" x14ac:dyDescent="0.25">
      <c r="A19" s="46" t="s">
        <v>93</v>
      </c>
      <c r="B19" s="83" t="s">
        <v>302</v>
      </c>
      <c r="C19" s="166" t="s">
        <v>204</v>
      </c>
      <c r="D19" s="167"/>
      <c r="E19" s="168"/>
      <c r="F19" s="166" t="s">
        <v>44</v>
      </c>
      <c r="G19" s="167"/>
      <c r="H19" s="167"/>
      <c r="I19" s="167"/>
      <c r="J19" s="167"/>
      <c r="K19" s="167"/>
      <c r="L19" s="167"/>
      <c r="M19" s="1" t="s">
        <v>84</v>
      </c>
    </row>
    <row r="20" spans="1:13" ht="12" customHeight="1" x14ac:dyDescent="0.25">
      <c r="A20" s="47" t="s">
        <v>51</v>
      </c>
      <c r="B20" s="55" t="s">
        <v>297</v>
      </c>
      <c r="C20" s="114" t="str" cm="1">
        <f t="array" ref="C20">CreateResourceName(B19,B20,B21,"backend")</f>
        <v>aqpt-publiacqua-prod-backend</v>
      </c>
      <c r="D20" s="109"/>
      <c r="E20" s="110"/>
      <c r="F20" s="169" t="str" cm="1">
        <f t="array" ref="F20">CLI_SelectSubscription($B$3) &amp; CHAR(13) &amp; CHAR(10) &amp; CLI_CreateAppGatewayBackendPool($B$7,$B$8,C20,B22)</f>
        <v>az account set --subscription 55173195-9a7e-486e-8c8d-4740bcbcb111_x000D_
az network application-gateway address-pool create  --resource-group rg-network-xops-prod-ne --gateway-name agw-hub-prod-ne --name aqpt-publiacqua-prod-backend --servers 10.240.6.4</v>
      </c>
      <c r="G20" s="170"/>
      <c r="H20" s="170"/>
      <c r="I20" s="170"/>
      <c r="J20" s="170"/>
      <c r="K20" s="170"/>
      <c r="L20" s="171"/>
    </row>
    <row r="21" spans="1:13" x14ac:dyDescent="0.25">
      <c r="A21" s="47" t="s">
        <v>50</v>
      </c>
      <c r="B21" s="55" t="s">
        <v>80</v>
      </c>
      <c r="C21" s="107"/>
      <c r="D21" s="108"/>
      <c r="E21" s="111"/>
      <c r="F21" s="172"/>
      <c r="G21" s="173"/>
      <c r="H21" s="173"/>
      <c r="I21" s="173"/>
      <c r="J21" s="173"/>
      <c r="K21" s="173"/>
      <c r="L21" s="174"/>
    </row>
    <row r="22" spans="1:13" x14ac:dyDescent="0.25">
      <c r="A22" s="47" t="s">
        <v>94</v>
      </c>
      <c r="B22" s="55" t="s">
        <v>97</v>
      </c>
      <c r="C22" s="112"/>
      <c r="D22" s="106"/>
      <c r="E22" s="113"/>
      <c r="F22" s="175"/>
      <c r="G22" s="176"/>
      <c r="H22" s="176"/>
      <c r="I22" s="176"/>
      <c r="J22" s="176"/>
      <c r="K22" s="176"/>
      <c r="L22" s="177"/>
    </row>
    <row r="24" spans="1:13" x14ac:dyDescent="0.25">
      <c r="A24" s="44" t="s">
        <v>203</v>
      </c>
    </row>
    <row r="25" spans="1:13" x14ac:dyDescent="0.25">
      <c r="A25" s="46" t="s">
        <v>98</v>
      </c>
      <c r="B25" s="46" t="s">
        <v>93</v>
      </c>
      <c r="C25" s="47" t="s">
        <v>51</v>
      </c>
      <c r="D25" s="47" t="s">
        <v>190</v>
      </c>
      <c r="E25" s="99" t="s">
        <v>108</v>
      </c>
      <c r="F25" s="47" t="s">
        <v>99</v>
      </c>
      <c r="G25" s="54" t="s">
        <v>37</v>
      </c>
      <c r="H25" s="54" t="s">
        <v>142</v>
      </c>
      <c r="I25" s="99" t="s">
        <v>120</v>
      </c>
      <c r="J25" s="94" t="s">
        <v>44</v>
      </c>
      <c r="K25" s="95" t="s">
        <v>84</v>
      </c>
    </row>
    <row r="26" spans="1:13" ht="72" x14ac:dyDescent="0.25">
      <c r="A26" s="83"/>
      <c r="B26" s="83" t="s">
        <v>302</v>
      </c>
      <c r="C26" s="55" t="s">
        <v>230</v>
      </c>
      <c r="D26" s="55" t="s">
        <v>41</v>
      </c>
      <c r="E26" s="55">
        <v>227</v>
      </c>
      <c r="F26" s="55" t="s">
        <v>101</v>
      </c>
      <c r="G26" s="55">
        <v>80</v>
      </c>
      <c r="H26" s="55">
        <v>120</v>
      </c>
      <c r="I26" s="100" t="str" cm="1">
        <f t="array" ref="I26">IF(Table_AppGatewayIS[[#This Row],[Product]]="","",GetHostName(Table_AppGatewayIS[[#This Row],[Component]],Table_AppGatewayIS[[#This Row],[Product]],Table_AppGatewayIS[[#This Row],[Customer]],Table_AppGatewayIS[[#This Row],[Env.]],$B$5))</f>
        <v>aqpt-xops-dev.aquadvanced.com</v>
      </c>
      <c r="J26" s="102" t="str" cm="1">
        <f t="array" ref="J26">IF(Table_AppGatewayIS[[#This Row],[Product]]="","",CLI_OpenAppGatewayFlow($B$3,$B$4,$B$5,$B$7,$B$8,$B$9,$B$10,$B$11,Table_AppGatewayIS[[#This Row],[Host name]],$C$20,Table_AppGatewayIS[[#This Row],[Component]],Table_AppGatewayIS[[#This Row],[Product]],Table_AppGatewayIS[[#This Row],[Customer]],Table_AppGatewayIS[[#This Row],[Env.]],Table_AppGatewayIS[[#This Row],[Protocol]],Table_AppGatewayIS[[#This Row],[Port]],Table_AppGatewayIS[[#This Row],[Timeout]],Table_AppGatewayIS[[#This Row],[Priority]]))</f>
        <v>az account set --subscription 55173195-9a7e-486e-8c8d-4740bcbcb111_x000D__x000D_az network dns record-set a add-record --resource-group rg-network-xops-prod-ne --record-set-name aqpt-xops-dev --ipv4-address 20.166.248.214 --zone-name aquadvanced.com_x000D__x000D_az network application-gateway http-settings create --resource-group rg-network-xops-prod-ne --gateway-name agw-hub-prod-ne --name aqpt-xops-dev-backend_settings --port 80 --timeout 120_x000D__x000D_az network application-gateway http-listener create --resource-group rg-network-xops-prod-ne --gateway-name agw-hub-prod-ne --frontend-port port_80 --name aqpt-xops-dev-http_listener --frontend-ip appGwPublicFrontendIp --host-name aqpt-xops-dev.aquadvanced.com_x000D__x000D_az network application-gateway http-listener create --name aqpt-xops-dev-https_listener --resource-group rg-network-xops-prod-ne --gateway-name agw-hub-prod-ne --frontend-ip appGwPublicFrontendIp --frontend-port port_443 --ssl-cert aquadvancedcert --host-name aqpt-xops-dev.aquadvanced.com_x000D__x000D_az network application-gateway rule create --resource-group rg-network-xops-prod-ne --gateway-name agw-hub-prod-ne --name aqpt-xops-dev-https_routing_rule --http-listener aqpt-xops-dev-https_listener --rule-type Basic --address-pool aqpt-publiacqua-prod-backend --http-settings aqpt-xops-dev-backend_settings --priority 227_x000D__x000D_az network application-gateway redirect-config create --resource-group rg-network-xops-prod-ne --gateway-name agw-hub-prod-ne --name aqpt-xops-dev-redirect --type Permanent --include-path true --include-query-string true --target-listener aqpt-xops-dev-https_listener_x000D__x000D_az network application-gateway rule create --resource-group rg-network-xops-prod-ne --gateway-name agw-hub-prod-ne --name aqpt-xops-dev-http_redirect_routing_rule --http-listener aqpt-xops-dev-http_listener --rule-type Basic --redirect-config aqpt-xops-dev-redirect --priority 228_x000D__x000D_</v>
      </c>
      <c r="K26" s="103" t="s">
        <v>84</v>
      </c>
    </row>
    <row r="27" spans="1:13" x14ac:dyDescent="0.25">
      <c r="A27" s="55"/>
      <c r="B27" s="55"/>
      <c r="C27" s="55"/>
      <c r="D27" s="55"/>
      <c r="E27" s="55"/>
      <c r="F27" s="55"/>
      <c r="G27" s="55"/>
      <c r="H27" s="55"/>
      <c r="I27" s="100" t="str" cm="1">
        <f t="array" ref="I27">IF(Table_AppGatewayIS[[#This Row],[Product]]="","",GetHostName(Table_AppGatewayIS[[#This Row],[Component]],Table_AppGatewayIS[[#This Row],[Product]],Table_AppGatewayIS[[#This Row],[Customer]],Table_AppGatewayIS[[#This Row],[Env.]],$B$5))</f>
        <v/>
      </c>
      <c r="J27" s="102" t="str" cm="1">
        <f t="array" ref="J27">IF(Table_AppGatewayIS[[#This Row],[Product]]="","",CLI_OpenAppGatewayFlow($B$3,$B$4,$B$5,$B$7,$B$8,$B$9,$B$10,$B$11,Table_AppGatewayIS[[#This Row],[Host name]],$C$20,Table_AppGatewayIS[[#This Row],[Component]],Table_AppGatewayIS[[#This Row],[Product]],Table_AppGatewayIS[[#This Row],[Customer]],Table_AppGatewayIS[[#This Row],[Env.]],Table_AppGatewayIS[[#This Row],[Protocol]],Table_AppGatewayIS[[#This Row],[Port]],Table_AppGatewayIS[[#This Row],[Timeout]],Table_AppGatewayIS[[#This Row],[Priority]]))</f>
        <v/>
      </c>
      <c r="K27" s="103" t="str">
        <f>IF(Table_AppGatewayIS[[#This Row],[Script]]="","",".")</f>
        <v/>
      </c>
    </row>
    <row r="28" spans="1:13" x14ac:dyDescent="0.25">
      <c r="A28" s="55"/>
      <c r="B28" s="55"/>
      <c r="C28" s="55"/>
      <c r="D28" s="55"/>
      <c r="E28" s="55"/>
      <c r="F28" s="55"/>
      <c r="G28" s="55"/>
      <c r="H28" s="55"/>
      <c r="I28" s="100" t="str" cm="1">
        <f t="array" ref="I28">IF(Table_AppGatewayIS[[#This Row],[Product]]="","",GetHostName(Table_AppGatewayIS[[#This Row],[Component]],Table_AppGatewayIS[[#This Row],[Product]],Table_AppGatewayIS[[#This Row],[Customer]],Table_AppGatewayIS[[#This Row],[Env.]],$B$5))</f>
        <v/>
      </c>
      <c r="J28" s="102" t="str" cm="1">
        <f t="array" ref="J28">IF(Table_AppGatewayIS[[#This Row],[Product]]="","",CLI_OpenAppGatewayFlow($B$3,$B$4,$B$5,$B$7,$B$8,$B$9,$B$10,$B$11,Table_AppGatewayIS[[#This Row],[Host name]],$C$20,Table_AppGatewayIS[[#This Row],[Component]],Table_AppGatewayIS[[#This Row],[Product]],Table_AppGatewayIS[[#This Row],[Customer]],Table_AppGatewayIS[[#This Row],[Env.]],Table_AppGatewayIS[[#This Row],[Protocol]],Table_AppGatewayIS[[#This Row],[Port]],Table_AppGatewayIS[[#This Row],[Timeout]],Table_AppGatewayIS[[#This Row],[Priority]]))</f>
        <v/>
      </c>
      <c r="K28" s="103" t="str">
        <f>IF(Table_AppGatewayIS[[#This Row],[Script]]="","",".")</f>
        <v/>
      </c>
    </row>
  </sheetData>
  <mergeCells count="11">
    <mergeCell ref="F20:L22"/>
    <mergeCell ref="B9:D9"/>
    <mergeCell ref="B10:D10"/>
    <mergeCell ref="B11:D11"/>
    <mergeCell ref="C19:E19"/>
    <mergeCell ref="F19:L19"/>
    <mergeCell ref="B3:D3"/>
    <mergeCell ref="B4:D4"/>
    <mergeCell ref="B5:D5"/>
    <mergeCell ref="B7:D7"/>
    <mergeCell ref="B8:D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_ResourceGroup">
              <controlPr defaultSize="0" print="0" autoFill="0" autoPict="0" macro="[0]!AgwIS.CopyScriptAgwIS">
                <anchor moveWithCells="1" sizeWithCells="1">
                  <from>
                    <xdr:col>11</xdr:col>
                    <xdr:colOff>76200</xdr:colOff>
                    <xdr:row>24</xdr:row>
                    <xdr:rowOff>83820</xdr:rowOff>
                  </from>
                  <to>
                    <xdr:col>14</xdr:col>
                    <xdr:colOff>60960</xdr:colOff>
                    <xdr:row>26</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AgwIS.ExecuteBackendPoolScriptAgwIS">
                <anchor moveWithCells="1" sizeWithCells="1">
                  <from>
                    <xdr:col>12</xdr:col>
                    <xdr:colOff>68580</xdr:colOff>
                    <xdr:row>19</xdr:row>
                    <xdr:rowOff>45720</xdr:rowOff>
                  </from>
                  <to>
                    <xdr:col>15</xdr:col>
                    <xdr:colOff>30480</xdr:colOff>
                    <xdr:row>21</xdr:row>
                    <xdr:rowOff>45720</xdr:rowOff>
                  </to>
                </anchor>
              </controlPr>
            </control>
          </mc:Choice>
        </mc:AlternateContent>
        <mc:AlternateContent xmlns:mc="http://schemas.openxmlformats.org/markup-compatibility/2006">
          <mc:Choice Requires="x14">
            <control shapeId="67587" r:id="rId6" name="Button 3">
              <controlPr defaultSize="0" print="0" autoFill="0" autoPict="0" macro="[0]!AgwIS.ExecuteAgwIS">
                <anchor moveWithCells="1" sizeWithCells="1">
                  <from>
                    <xdr:col>12</xdr:col>
                    <xdr:colOff>106680</xdr:colOff>
                    <xdr:row>26</xdr:row>
                    <xdr:rowOff>60960</xdr:rowOff>
                  </from>
                  <to>
                    <xdr:col>15</xdr:col>
                    <xdr:colOff>76200</xdr:colOff>
                    <xdr:row>28</xdr:row>
                    <xdr:rowOff>30480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F65A7DE-A45C-46F4-8A25-6B1561F5EBA0}">
          <x14:formula1>
            <xm:f>'#Data'!$G$2:$G$7</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04E94-0144-4DEC-8D74-A92A3ECB5FAD}">
  <sheetPr codeName="AgwIS1">
    <tabColor rgb="FFFF0000"/>
  </sheetPr>
  <dimension ref="A1:M32"/>
  <sheetViews>
    <sheetView showGridLines="0" tabSelected="1" workbookViewId="0">
      <selection activeCell="G19" sqref="G19"/>
    </sheetView>
  </sheetViews>
  <sheetFormatPr defaultColWidth="8.88671875" defaultRowHeight="12" x14ac:dyDescent="0.25"/>
  <cols>
    <col min="1" max="1" width="19.44140625" style="134" bestFit="1" customWidth="1"/>
    <col min="2" max="7" width="19.33203125" style="134" customWidth="1"/>
    <col min="8" max="8" width="6" style="134" bestFit="1" customWidth="1"/>
    <col min="9" max="9" width="6" style="134" customWidth="1"/>
    <col min="10" max="10" width="28.109375" style="134" customWidth="1"/>
    <col min="11" max="11" width="16.88671875" style="134" customWidth="1"/>
    <col min="12" max="12" width="4.5546875" style="134" customWidth="1"/>
    <col min="13" max="13" width="2.5546875" style="134" customWidth="1"/>
    <col min="14" max="14" width="2.6640625" style="134" customWidth="1"/>
    <col min="15" max="16384" width="8.88671875" style="134"/>
  </cols>
  <sheetData>
    <row r="1" spans="1:13" ht="15.6" x14ac:dyDescent="0.3">
      <c r="A1" s="133" t="s">
        <v>295</v>
      </c>
    </row>
    <row r="3" spans="1:13" x14ac:dyDescent="0.25">
      <c r="A3" s="135" t="s">
        <v>55</v>
      </c>
      <c r="B3" s="150" t="s">
        <v>183</v>
      </c>
    </row>
    <row r="4" spans="1:13" ht="12" customHeight="1" x14ac:dyDescent="0.25">
      <c r="A4" s="135" t="s">
        <v>89</v>
      </c>
      <c r="B4" s="136" t="str" cm="1">
        <f t="array" ref="B4">GetSubscriptionID(B3)</f>
        <v>55173195-9a7e-486e-8c8d-4740bcbcb111</v>
      </c>
    </row>
    <row r="5" spans="1:13" x14ac:dyDescent="0.25">
      <c r="A5" s="135" t="s">
        <v>148</v>
      </c>
      <c r="B5" s="151" t="s">
        <v>287</v>
      </c>
    </row>
    <row r="6" spans="1:13" x14ac:dyDescent="0.25">
      <c r="A6" s="135" t="s">
        <v>129</v>
      </c>
      <c r="B6" s="151" t="s">
        <v>128</v>
      </c>
    </row>
    <row r="8" spans="1:13" x14ac:dyDescent="0.25">
      <c r="A8" s="135" t="s">
        <v>147</v>
      </c>
      <c r="B8" s="151" t="s">
        <v>287</v>
      </c>
    </row>
    <row r="9" spans="1:13" x14ac:dyDescent="0.25">
      <c r="A9" s="135" t="s">
        <v>92</v>
      </c>
      <c r="B9" s="151" t="s">
        <v>288</v>
      </c>
    </row>
    <row r="10" spans="1:13" x14ac:dyDescent="0.25">
      <c r="A10" s="135" t="s">
        <v>144</v>
      </c>
      <c r="B10" s="151" t="s">
        <v>289</v>
      </c>
    </row>
    <row r="11" spans="1:13" x14ac:dyDescent="0.25">
      <c r="A11" s="135" t="s">
        <v>91</v>
      </c>
      <c r="B11" s="151" t="s">
        <v>290</v>
      </c>
    </row>
    <row r="12" spans="1:13" x14ac:dyDescent="0.25">
      <c r="A12" s="135" t="s">
        <v>160</v>
      </c>
      <c r="B12" s="151" t="s">
        <v>131</v>
      </c>
    </row>
    <row r="14" spans="1:13" x14ac:dyDescent="0.25">
      <c r="A14" s="137" t="s">
        <v>202</v>
      </c>
    </row>
    <row r="15" spans="1:13" x14ac:dyDescent="0.25">
      <c r="A15" s="126" t="s">
        <v>93</v>
      </c>
      <c r="B15" s="146" t="s">
        <v>96</v>
      </c>
      <c r="M15" s="134" t="s">
        <v>84</v>
      </c>
    </row>
    <row r="16" spans="1:13" ht="12" customHeight="1" x14ac:dyDescent="0.25">
      <c r="A16" s="127" t="s">
        <v>51</v>
      </c>
      <c r="B16" s="147" t="s">
        <v>303</v>
      </c>
    </row>
    <row r="17" spans="1:7" x14ac:dyDescent="0.25">
      <c r="A17" s="127" t="s">
        <v>50</v>
      </c>
      <c r="B17" s="147" t="s">
        <v>41</v>
      </c>
    </row>
    <row r="18" spans="1:7" x14ac:dyDescent="0.25">
      <c r="A18" s="127" t="s">
        <v>94</v>
      </c>
      <c r="B18" s="147" t="s">
        <v>305</v>
      </c>
    </row>
    <row r="19" spans="1:7" x14ac:dyDescent="0.25">
      <c r="A19" s="127" t="s">
        <v>204</v>
      </c>
      <c r="B19" s="136" t="str" cm="1">
        <f t="array" ref="B19">CreateResourceName(B15,B16,B17,"backend")</f>
        <v>aqud-lyre-dev-backend</v>
      </c>
    </row>
    <row r="20" spans="1:7" ht="15.6" hidden="1" customHeight="1" x14ac:dyDescent="0.25">
      <c r="A20" s="138" t="s">
        <v>44</v>
      </c>
      <c r="B20" s="139" t="str" cm="1">
        <f t="array" ref="B20">CLI_SelectSubscription($B$4) &amp; CHAR(13) &amp; CHAR(10)  &amp; CHAR(13) &amp; CHAR(10) &amp; CLI_CreateAppGatewayBackendPool($B$8,$B$9,B19,B18)</f>
        <v>az account set --subscription 55173195-9a7e-486e-8c8d-4740bcbcb111_x000D_
_x000D_
az network application-gateway address-pool create  --resource-group rg-network-xops-prod-ne --gateway-name agw-hub-prod-ne --name aqud-lyre-dev-backend --servers 10.240.4.4</v>
      </c>
      <c r="C20" s="140"/>
    </row>
    <row r="22" spans="1:7" x14ac:dyDescent="0.25">
      <c r="A22" s="141" t="s">
        <v>203</v>
      </c>
    </row>
    <row r="23" spans="1:7" x14ac:dyDescent="0.25">
      <c r="A23" s="125"/>
      <c r="B23" s="131" t="s">
        <v>229</v>
      </c>
      <c r="C23" s="131" t="s">
        <v>264</v>
      </c>
      <c r="D23" s="131" t="s">
        <v>265</v>
      </c>
      <c r="E23" s="131" t="s">
        <v>291</v>
      </c>
      <c r="F23" s="131" t="s">
        <v>292</v>
      </c>
      <c r="G23" s="132" t="s">
        <v>293</v>
      </c>
    </row>
    <row r="24" spans="1:7" x14ac:dyDescent="0.25">
      <c r="A24" s="126" t="s">
        <v>98</v>
      </c>
      <c r="B24" s="148"/>
      <c r="C24" s="148" t="s">
        <v>143</v>
      </c>
      <c r="D24" s="148" t="s">
        <v>102</v>
      </c>
      <c r="E24" s="148"/>
      <c r="F24" s="148"/>
      <c r="G24" s="148"/>
    </row>
    <row r="25" spans="1:7" x14ac:dyDescent="0.25">
      <c r="A25" s="127" t="s">
        <v>51</v>
      </c>
      <c r="B25" s="149" t="s">
        <v>303</v>
      </c>
      <c r="C25" s="149" t="s">
        <v>43</v>
      </c>
      <c r="D25" s="149" t="s">
        <v>303</v>
      </c>
      <c r="E25" s="149"/>
      <c r="F25" s="149"/>
      <c r="G25" s="149"/>
    </row>
    <row r="26" spans="1:7" x14ac:dyDescent="0.25">
      <c r="A26" s="128" t="s">
        <v>108</v>
      </c>
      <c r="B26" s="149">
        <v>243</v>
      </c>
      <c r="C26" s="149">
        <v>235</v>
      </c>
      <c r="D26" s="149">
        <v>400</v>
      </c>
      <c r="E26" s="149"/>
      <c r="F26" s="149"/>
      <c r="G26" s="149"/>
    </row>
    <row r="27" spans="1:7" x14ac:dyDescent="0.25">
      <c r="A27" s="127" t="s">
        <v>99</v>
      </c>
      <c r="B27" s="152" t="s">
        <v>101</v>
      </c>
      <c r="C27" s="152" t="s">
        <v>101</v>
      </c>
      <c r="D27" s="152" t="s">
        <v>101</v>
      </c>
      <c r="E27" s="152" t="s">
        <v>101</v>
      </c>
      <c r="F27" s="152" t="s">
        <v>101</v>
      </c>
      <c r="G27" s="152" t="s">
        <v>101</v>
      </c>
    </row>
    <row r="28" spans="1:7" x14ac:dyDescent="0.25">
      <c r="A28" s="129" t="s">
        <v>37</v>
      </c>
      <c r="B28" s="152">
        <v>80</v>
      </c>
      <c r="C28" s="152">
        <v>80</v>
      </c>
      <c r="D28" s="152">
        <v>5000</v>
      </c>
      <c r="E28" s="152">
        <v>80</v>
      </c>
      <c r="F28" s="152">
        <v>80</v>
      </c>
      <c r="G28" s="152">
        <v>80</v>
      </c>
    </row>
    <row r="29" spans="1:7" x14ac:dyDescent="0.25">
      <c r="A29" s="129" t="s">
        <v>142</v>
      </c>
      <c r="B29" s="152">
        <v>120</v>
      </c>
      <c r="C29" s="152">
        <v>120</v>
      </c>
      <c r="D29" s="152">
        <v>120</v>
      </c>
      <c r="E29" s="152">
        <v>120</v>
      </c>
      <c r="F29" s="152">
        <v>120</v>
      </c>
      <c r="G29" s="152">
        <v>120</v>
      </c>
    </row>
    <row r="30" spans="1:7" ht="24" x14ac:dyDescent="0.25">
      <c r="A30" s="128" t="s">
        <v>120</v>
      </c>
      <c r="B30" s="142" t="str" cm="1">
        <f t="array" ref="B30">IF(B25="","",GetHostName(B24,$B$15,B25,$B$17,$B$6))</f>
        <v>aqud-lyre-dev.aquadvanced.com</v>
      </c>
      <c r="C30" s="142" t="str" cm="1">
        <f t="array" ref="C30">IF(C25="","",GetHostName(C24,$B$15,C25,$B$17,$B$6))</f>
        <v>test-aqud-multi-dev.aquadvanced.com</v>
      </c>
      <c r="D30" s="142" t="str" cm="1">
        <f t="array" ref="D30">IF(D25="","",GetHostName(D24,$B$15,D25,$B$17,$B$6))</f>
        <v>geoserver-aqud-lyre-dev.aquadvanced.com</v>
      </c>
      <c r="E30" s="142" t="str" cm="1">
        <f t="array" ref="E30">IF(E25="","",GetHostName(E24,$B$15,E25,$B$17,$B$6))</f>
        <v/>
      </c>
      <c r="F30" s="142" t="str" cm="1">
        <f t="array" ref="F30">IF(F25="","",GetHostName(F24,$B$15,F25,$B$17,$B$6))</f>
        <v/>
      </c>
      <c r="G30" s="142" t="str" cm="1">
        <f t="array" ref="G30">IF(G25="","",GetHostName(G24,$B$15,G25,$B$17,$B$6))</f>
        <v/>
      </c>
    </row>
    <row r="31" spans="1:7" x14ac:dyDescent="0.25">
      <c r="A31" s="143" t="s">
        <v>294</v>
      </c>
      <c r="B31" s="144" t="str">
        <f>IF(B30="","",HYPERLINK("https://"&amp;B30, "&gt;&gt;&gt;&gt;&gt; Test Url"))</f>
        <v>&gt;&gt;&gt;&gt;&gt; Test Url</v>
      </c>
      <c r="C31" s="144" t="str">
        <f t="shared" ref="C31:G31" si="0">IF(C30="","",HYPERLINK("https://"&amp;C30, "&gt;&gt;&gt;&gt;&gt; Test Url"))</f>
        <v>&gt;&gt;&gt;&gt;&gt; Test Url</v>
      </c>
      <c r="D31" s="144" t="str">
        <f t="shared" si="0"/>
        <v>&gt;&gt;&gt;&gt;&gt; Test Url</v>
      </c>
      <c r="E31" s="144" t="str">
        <f t="shared" si="0"/>
        <v/>
      </c>
      <c r="F31" s="144" t="str">
        <f t="shared" si="0"/>
        <v/>
      </c>
      <c r="G31" s="144" t="str">
        <f t="shared" si="0"/>
        <v/>
      </c>
    </row>
    <row r="32" spans="1:7" ht="15" hidden="1" customHeight="1" x14ac:dyDescent="0.25">
      <c r="A32" s="145" t="s">
        <v>44</v>
      </c>
      <c r="B32" s="139" t="str" cm="1">
        <f t="array" ref="B32">IF(B30="","",CLI_OpenAppGatewayFlow($B$4,$B$5,$B$6,$B$8,$B$9,$B$10,$B$11,$B$12,B30,$B$19,B24,$B$15,B25,$B$17,B27,B28,B29,B26))</f>
        <v>az account set --subscription 55173195-9a7e-486e-8c8d-4740bcbcb111_x000D__x000D_az network dns record-set a add-record --resource-group rg-network-xops-prod-ne --record-set-name aqud-lyre-dev --ipv4-address 20.166.248.214 --zone-name aquadvanced.com_x000D__x000D_az network application-gateway http-settings create --resource-group rg-network-xops-prod-ne --gateway-name agw-hub-prod-ne --name aqud-lyre-dev-backend_settings --port 80 --timeout 120_x000D__x000D_az network application-gateway http-listener create --resource-group rg-network-xops-prod-ne --gateway-name agw-hub-prod-ne --frontend-port port_80 --name aqud-lyre-dev-http_listener --frontend-ip appGwPublicFrontendIp --host-name aqud-lyre-dev.aquadvanced.com_x000D__x000D_az network application-gateway http-listener create --name aqud-lyre-dev-https_listener --resource-group rg-network-xops-prod-ne --gateway-name agw-hub-prod-ne --frontend-ip appGwPublicFrontendIp --frontend-port port_443 --ssl-cert aquadvancedcert --host-name aqud-lyre-dev.aquadvanced.com_x000D__x000D_az network application-gateway rule create --resource-group rg-network-xops-prod-ne --gateway-name agw-hub-prod-ne --name aqud-lyre-dev-https_routing_rule --http-listener aqud-lyre-dev-https_listener --rule-type Basic --address-pool aqud-lyre-dev-backend --http-settings aqud-lyre-dev-backend_settings --priority 243_x000D__x000D_az network application-gateway redirect-config create --resource-group rg-network-xops-prod-ne --gateway-name agw-hub-prod-ne --name aqud-lyre-dev-redirect --type Permanent --include-path true --include-query-string true --target-listener aqud-lyre-dev-https_listener_x000D__x000D_az network application-gateway rule create --resource-group rg-network-xops-prod-ne --gateway-name agw-hub-prod-ne --name aqud-lyre-dev-http_redirect_routing_rule --http-listener aqud-lyre-dev-http_listener --rule-type Basic --redirect-config aqud-lyre-dev-redirect --priority 244_x000D__x000D_</v>
      </c>
      <c r="C32" s="130" t="str" cm="1">
        <f t="array" ref="C32">IF(C30="","",CLI_OpenAppGatewayFlow($B$4,$B$5,$B$6,$B$8,$B$9,$B$10,$B$11,$B$12,C30,$B$19,C24,$B$15,C25,$B$17,C27,C28,C29,C26))</f>
        <v>az account set --subscription 55173195-9a7e-486e-8c8d-4740bcbcb111_x000D__x000D_az network dns record-set a add-record --resource-group rg-network-xops-prod-ne --record-set-name test-aqud-multi-dev --ipv4-address 20.166.248.214 --zone-name aquadvanced.com_x000D__x000D_az network application-gateway http-settings create --resource-group rg-network-xops-prod-ne --gateway-name agw-hub-prod-ne --name test-aqud-multi-dev-backend_settings --port 80 --timeout 120_x000D__x000D_az network application-gateway http-listener create --resource-group rg-network-xops-prod-ne --gateway-name agw-hub-prod-ne --frontend-port port_80 --name test-aqud-multi-dev-http_listener --frontend-ip appGwPublicFrontendIp --host-name test-aqud-multi-dev.aquadvanced.com_x000D__x000D_az network application-gateway http-listener create --name test-aqud-multi-dev-https_listener --resource-group rg-network-xops-prod-ne --gateway-name agw-hub-prod-ne --frontend-ip appGwPublicFrontendIp --frontend-port port_443 --ssl-cert aquadvancedcert --host-name test-aqud-multi-dev.aquadvanced.com_x000D__x000D_az network application-gateway rule create --resource-group rg-network-xops-prod-ne --gateway-name agw-hub-prod-ne --name test-aqud-multi-dev-https_routing_rule --http-listener test-aqud-multi-dev-https_listener --rule-type Basic --address-pool aqud-lyre-dev-backend --http-settings test-aqud-multi-dev-backend_settings --priority 235_x000D__x000D_az network application-gateway redirect-config create --resource-group rg-network-xops-prod-ne --gateway-name agw-hub-prod-ne --name test-aqud-multi-dev-redirect --type Permanent --include-path true --include-query-string true --target-listener test-aqud-multi-dev-https_listener_x000D__x000D_az network application-gateway rule create --resource-group rg-network-xops-prod-ne --gateway-name agw-hub-prod-ne --name test-aqud-multi-dev-http_redirect_routing_rule --http-listener test-aqud-multi-dev-http_listener --rule-type Basic --redirect-config test-aqud-multi-dev-redirect --priority 236_x000D__x000D_</v>
      </c>
      <c r="D32" s="130" t="str" cm="1">
        <f t="array" ref="D32">IF(D30="","",CLI_OpenAppGatewayFlow($B$4,$B$5,$B$6,$B$8,$B$9,$B$10,$B$11,$B$12,D30,$B$19,D24,$B$15,D25,$B$17,D27,D28,D29,D26))</f>
        <v>az account set --subscription 55173195-9a7e-486e-8c8d-4740bcbcb111_x000D__x000D_az network dns record-set a add-record --resource-group rg-network-xops-prod-ne --record-set-name geoserver-aqud-lyre-dev --ipv4-address 20.166.248.214 --zone-name aquadvanced.com_x000D__x000D_az network application-gateway http-settings create --resource-group rg-network-xops-prod-ne --gateway-name agw-hub-prod-ne --name geoserver-aqud-lyre-dev-backend_settings --port 5000 --timeout 120_x000D__x000D_az network application-gateway http-listener create --resource-group rg-network-xops-prod-ne --gateway-name agw-hub-prod-ne --frontend-port port_80 --name geoserver-aqud-lyre-dev-http_listener --frontend-ip appGwPublicFrontendIp --host-name geoserver-aqud-lyre-dev.aquadvanced.com_x000D__x000D_az network application-gateway http-listener create --name geoserver-aqud-lyre-dev-https_listener --resource-group rg-network-xops-prod-ne --gateway-name agw-hub-prod-ne --frontend-ip appGwPublicFrontendIp --frontend-port port_443 --ssl-cert aquadvancedcert --host-name geoserver-aqud-lyre-dev.aquadvanced.com_x000D__x000D_az network application-gateway rule create --resource-group rg-network-xops-prod-ne --gateway-name agw-hub-prod-ne --name geoserver-aqud-lyre-dev-https_routing_rule --http-listener geoserver-aqud-lyre-dev-https_listener --rule-type Basic --address-pool aqud-lyre-dev-backend --http-settings geoserver-aqud-lyre-dev-backend_settings --priority 400_x000D__x000D_az network application-gateway redirect-config create --resource-group rg-network-xops-prod-ne --gateway-name agw-hub-prod-ne --name geoserver-aqud-lyre-dev-redirect --type Permanent --include-path true --include-query-string true --target-listener geoserver-aqud-lyre-dev-https_listener_x000D__x000D_az network application-gateway rule create --resource-group rg-network-xops-prod-ne --gateway-name agw-hub-prod-ne --name geoserver-aqud-lyre-dev-http_redirect_routing_rule --http-listener geoserver-aqud-lyre-dev-http_listener --rule-type Basic --redirect-config geoserver-aqud-lyre-dev-redirect --priority 401_x000D__x000D_</v>
      </c>
      <c r="E32" s="130" t="str" cm="1">
        <f t="array" ref="E32">IF(E30="","",CLI_OpenAppGatewayFlow($B$4,$B$5,$B$6,$B$8,$B$9,$B$10,$B$11,$B$12,E30,$B$19,E24,$B$15,E25,$B$17,E27,E28,E29,E26))</f>
        <v/>
      </c>
      <c r="F32" s="130" t="str" cm="1">
        <f t="array" ref="F32">IF(F30="","",CLI_OpenAppGatewayFlow($B$4,$B$5,$B$6,$B$8,$B$9,$B$10,$B$11,$B$12,F30,$B$19,F24,$B$15,F25,$B$17,F27,F28,F29,F26))</f>
        <v/>
      </c>
      <c r="G32" s="130" t="str" cm="1">
        <f t="array" ref="G32">IF(G30="","",CLI_OpenAppGatewayFlow($B$4,$B$5,$B$6,$B$8,$B$9,$B$10,$B$11,$B$12,G30,$B$19,G24,$B$15,G25,$B$17,G27,G28,G29,G26))</f>
        <v/>
      </c>
    </row>
  </sheetData>
  <sheetProtection sheet="1" scenarios="1"/>
  <phoneticPr fontId="2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_ResourceGroup">
              <controlPr defaultSize="0" print="0" autoFill="0" autoPict="0" macro="[0]!AgwIS1.CopyScript">
                <anchor moveWithCells="1" sizeWithCells="1">
                  <from>
                    <xdr:col>6</xdr:col>
                    <xdr:colOff>426720</xdr:colOff>
                    <xdr:row>1</xdr:row>
                    <xdr:rowOff>30480</xdr:rowOff>
                  </from>
                  <to>
                    <xdr:col>7</xdr:col>
                    <xdr:colOff>60960</xdr:colOff>
                    <xdr:row>2</xdr:row>
                    <xdr:rowOff>99060</xdr:rowOff>
                  </to>
                </anchor>
              </controlPr>
            </control>
          </mc:Choice>
        </mc:AlternateContent>
        <mc:AlternateContent xmlns:mc="http://schemas.openxmlformats.org/markup-compatibility/2006">
          <mc:Choice Requires="x14">
            <control shapeId="78851" r:id="rId5" name="Button 3">
              <controlPr defaultSize="0" print="0" autoFill="0" autoPict="0" macro="[0]!AgwIS1.ExecuteScript">
                <anchor moveWithCells="1" sizeWithCells="1">
                  <from>
                    <xdr:col>6</xdr:col>
                    <xdr:colOff>441960</xdr:colOff>
                    <xdr:row>3</xdr:row>
                    <xdr:rowOff>22860</xdr:rowOff>
                  </from>
                  <to>
                    <xdr:col>7</xdr:col>
                    <xdr:colOff>60960</xdr:colOff>
                    <xdr:row>4</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114745C-1D6D-49F3-A216-098C1FF95574}">
          <x14:formula1>
            <xm:f>'#Data'!$G$2:$G$7</xm:f>
          </x14:formula1>
          <xm:sqref>B3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77C5-5634-489D-ADCE-80E1BD7924F3}">
  <sheetPr codeName="Sheet11">
    <tabColor theme="9" tint="-0.249977111117893"/>
  </sheetPr>
  <dimension ref="A3:I51"/>
  <sheetViews>
    <sheetView showGridLines="0" workbookViewId="0">
      <selection activeCell="I6" sqref="I6"/>
    </sheetView>
  </sheetViews>
  <sheetFormatPr defaultColWidth="8.88671875" defaultRowHeight="12" x14ac:dyDescent="0.25"/>
  <cols>
    <col min="1" max="1" width="9" style="1" bestFit="1" customWidth="1"/>
    <col min="2" max="2" width="23.33203125" style="1" customWidth="1"/>
    <col min="3" max="3" width="30.6640625" style="1" bestFit="1" customWidth="1"/>
    <col min="4" max="5" width="27.6640625" style="1" bestFit="1" customWidth="1"/>
    <col min="6" max="7" width="8.88671875" style="1"/>
    <col min="8" max="8" width="16" style="1" bestFit="1" customWidth="1"/>
    <col min="9" max="16384" width="8.88671875" style="1"/>
  </cols>
  <sheetData>
    <row r="3" spans="1:9" x14ac:dyDescent="0.25">
      <c r="A3" s="180" t="s">
        <v>256</v>
      </c>
      <c r="B3" s="48" t="s">
        <v>55</v>
      </c>
      <c r="C3" s="115" t="s">
        <v>181</v>
      </c>
      <c r="H3" s="1" t="s">
        <v>253</v>
      </c>
      <c r="I3" s="1" t="s">
        <v>275</v>
      </c>
    </row>
    <row r="4" spans="1:9" x14ac:dyDescent="0.25">
      <c r="A4" s="181"/>
      <c r="B4" s="48" t="s">
        <v>89</v>
      </c>
      <c r="C4" s="117" t="str" cm="1">
        <f t="array" ref="C4">GetSubscriptionID(C3)</f>
        <v>af9f6198-6bb3-4dcf-aa26-3626cb338b4d</v>
      </c>
      <c r="H4" s="1" t="s">
        <v>273</v>
      </c>
      <c r="I4" s="1" t="s">
        <v>274</v>
      </c>
    </row>
    <row r="5" spans="1:9" x14ac:dyDescent="0.25">
      <c r="A5" s="181"/>
      <c r="B5" s="43" t="s">
        <v>225</v>
      </c>
      <c r="C5" s="13" t="s">
        <v>189</v>
      </c>
    </row>
    <row r="6" spans="1:9" x14ac:dyDescent="0.25">
      <c r="A6" s="181"/>
      <c r="B6" s="43" t="s">
        <v>227</v>
      </c>
      <c r="C6" s="13" t="s">
        <v>226</v>
      </c>
    </row>
    <row r="7" spans="1:9" x14ac:dyDescent="0.25">
      <c r="A7" s="181"/>
      <c r="B7" s="122" t="s">
        <v>280</v>
      </c>
      <c r="C7" s="117" t="str" cm="1">
        <f t="array" ref="C7">GetVnetID(C6)</f>
        <v>5110a6c6-0000-41f5-8056-8819221f6715</v>
      </c>
    </row>
    <row r="8" spans="1:9" x14ac:dyDescent="0.25">
      <c r="A8" s="181"/>
      <c r="B8" s="48" t="s">
        <v>165</v>
      </c>
      <c r="C8" s="13" t="s">
        <v>224</v>
      </c>
    </row>
    <row r="9" spans="1:9" x14ac:dyDescent="0.25">
      <c r="A9" s="181"/>
      <c r="B9" s="43" t="s">
        <v>235</v>
      </c>
      <c r="C9" s="13" t="s">
        <v>40</v>
      </c>
    </row>
    <row r="10" spans="1:9" x14ac:dyDescent="0.25">
      <c r="A10" s="182"/>
      <c r="B10" s="95" t="s">
        <v>234</v>
      </c>
      <c r="C10" s="117" t="str" cm="1">
        <f t="array" ref="C10">GetRegionName(C9)</f>
        <v>northeurope</v>
      </c>
    </row>
    <row r="12" spans="1:9" x14ac:dyDescent="0.25">
      <c r="B12" s="105"/>
      <c r="C12" s="105" t="s">
        <v>229</v>
      </c>
      <c r="D12" s="105" t="s">
        <v>264</v>
      </c>
      <c r="E12" s="105" t="s">
        <v>265</v>
      </c>
    </row>
    <row r="13" spans="1:9" x14ac:dyDescent="0.25">
      <c r="A13" s="183" t="s">
        <v>252</v>
      </c>
      <c r="B13" s="43" t="s">
        <v>232</v>
      </c>
      <c r="C13" s="13" t="s">
        <v>236</v>
      </c>
      <c r="D13" s="13" t="s">
        <v>266</v>
      </c>
      <c r="E13" s="13" t="s">
        <v>237</v>
      </c>
    </row>
    <row r="14" spans="1:9" x14ac:dyDescent="0.25">
      <c r="A14" s="183"/>
      <c r="B14" s="43" t="s">
        <v>93</v>
      </c>
      <c r="C14" s="13" t="s">
        <v>143</v>
      </c>
      <c r="D14" s="13" t="s">
        <v>143</v>
      </c>
      <c r="E14" s="13" t="s">
        <v>143</v>
      </c>
    </row>
    <row r="15" spans="1:9" x14ac:dyDescent="0.25">
      <c r="A15" s="183"/>
      <c r="B15" s="43" t="s">
        <v>51</v>
      </c>
      <c r="C15" s="13" t="s">
        <v>230</v>
      </c>
      <c r="D15" s="13" t="s">
        <v>230</v>
      </c>
      <c r="E15" s="13" t="s">
        <v>230</v>
      </c>
    </row>
    <row r="16" spans="1:9" x14ac:dyDescent="0.25">
      <c r="A16" s="183"/>
      <c r="B16" s="43" t="s">
        <v>50</v>
      </c>
      <c r="C16" s="13" t="s">
        <v>231</v>
      </c>
      <c r="D16" s="13" t="s">
        <v>231</v>
      </c>
      <c r="E16" s="13" t="s">
        <v>231</v>
      </c>
    </row>
    <row r="17" spans="1:5" x14ac:dyDescent="0.25">
      <c r="A17" s="183"/>
      <c r="B17" s="43" t="s">
        <v>60</v>
      </c>
      <c r="C17" s="116">
        <v>1</v>
      </c>
      <c r="D17" s="116">
        <v>1</v>
      </c>
      <c r="E17" s="116">
        <v>1</v>
      </c>
    </row>
    <row r="18" spans="1:5" x14ac:dyDescent="0.25">
      <c r="A18" s="183"/>
      <c r="B18" s="43" t="s">
        <v>276</v>
      </c>
      <c r="C18" s="116" t="s">
        <v>277</v>
      </c>
      <c r="D18" s="116" t="s">
        <v>277</v>
      </c>
      <c r="E18" s="116" t="s">
        <v>277</v>
      </c>
    </row>
    <row r="19" spans="1:5" x14ac:dyDescent="0.25">
      <c r="A19" s="183"/>
      <c r="B19" s="43" t="s">
        <v>251</v>
      </c>
      <c r="C19" s="116" t="s">
        <v>240</v>
      </c>
      <c r="D19" s="116" t="s">
        <v>240</v>
      </c>
      <c r="E19" s="116" t="s">
        <v>240</v>
      </c>
    </row>
    <row r="20" spans="1:5" x14ac:dyDescent="0.25">
      <c r="A20" s="183"/>
      <c r="B20" s="43" t="s">
        <v>238</v>
      </c>
      <c r="C20" s="116" t="s">
        <v>239</v>
      </c>
      <c r="D20" s="116" t="s">
        <v>239</v>
      </c>
      <c r="E20" s="116" t="s">
        <v>239</v>
      </c>
    </row>
    <row r="21" spans="1:5" x14ac:dyDescent="0.25">
      <c r="A21" s="183"/>
      <c r="B21" s="43" t="s">
        <v>271</v>
      </c>
      <c r="C21" s="116" t="s">
        <v>272</v>
      </c>
      <c r="D21" s="116" t="s">
        <v>272</v>
      </c>
      <c r="E21" s="116" t="s">
        <v>272</v>
      </c>
    </row>
    <row r="22" spans="1:5" x14ac:dyDescent="0.25">
      <c r="A22" s="183"/>
      <c r="B22" s="43" t="s">
        <v>242</v>
      </c>
      <c r="C22" s="116" t="s">
        <v>269</v>
      </c>
      <c r="D22" s="116" t="s">
        <v>269</v>
      </c>
      <c r="E22" s="116" t="s">
        <v>269</v>
      </c>
    </row>
    <row r="23" spans="1:5" x14ac:dyDescent="0.25">
      <c r="A23" s="183"/>
      <c r="B23" s="43" t="s">
        <v>241</v>
      </c>
      <c r="C23" s="116" t="s">
        <v>268</v>
      </c>
      <c r="D23" s="116" t="s">
        <v>268</v>
      </c>
      <c r="E23" s="116" t="s">
        <v>268</v>
      </c>
    </row>
    <row r="24" spans="1:5" x14ac:dyDescent="0.25">
      <c r="A24" s="183" t="s">
        <v>254</v>
      </c>
      <c r="B24" s="43" t="s">
        <v>243</v>
      </c>
      <c r="C24" s="116" t="s">
        <v>244</v>
      </c>
      <c r="D24" s="116" t="s">
        <v>244</v>
      </c>
      <c r="E24" s="116" t="s">
        <v>244</v>
      </c>
    </row>
    <row r="25" spans="1:5" x14ac:dyDescent="0.25">
      <c r="A25" s="183"/>
      <c r="B25" s="43" t="s">
        <v>245</v>
      </c>
      <c r="C25" s="116"/>
      <c r="D25" s="116" t="s">
        <v>244</v>
      </c>
      <c r="E25" s="116" t="s">
        <v>244</v>
      </c>
    </row>
    <row r="26" spans="1:5" x14ac:dyDescent="0.25">
      <c r="A26" s="183"/>
      <c r="B26" s="43" t="s">
        <v>247</v>
      </c>
      <c r="C26" s="116"/>
      <c r="D26" s="116">
        <v>128</v>
      </c>
      <c r="E26" s="116">
        <v>512</v>
      </c>
    </row>
    <row r="27" spans="1:5" x14ac:dyDescent="0.25">
      <c r="A27" s="118" t="s">
        <v>267</v>
      </c>
      <c r="B27" s="43" t="s">
        <v>68</v>
      </c>
      <c r="C27" s="116" t="s">
        <v>228</v>
      </c>
      <c r="D27" s="116" t="s">
        <v>228</v>
      </c>
      <c r="E27" s="116" t="s">
        <v>228</v>
      </c>
    </row>
    <row r="28" spans="1:5" x14ac:dyDescent="0.25">
      <c r="A28" s="119"/>
      <c r="B28" s="43"/>
      <c r="C28" s="116"/>
      <c r="D28" s="116"/>
      <c r="E28" s="116"/>
    </row>
    <row r="29" spans="1:5" ht="14.4" customHeight="1" x14ac:dyDescent="0.25">
      <c r="A29" s="178" t="s">
        <v>255</v>
      </c>
      <c r="B29" s="43" t="s">
        <v>233</v>
      </c>
      <c r="C29" s="117" t="str" cm="1">
        <f t="array" ref="C29">GetVMName(C13,C14,C15,C16,C9,C17)</f>
        <v>vm_web-test-xops-ops-ne-01</v>
      </c>
      <c r="D29" s="117" t="str" cm="1">
        <f t="array" ref="D29">GetVMName(D13,D14,D15,D16,D9,D17)</f>
        <v>vm_app-test-xops-ops--01</v>
      </c>
      <c r="E29" s="117" t="str" cm="1">
        <f t="array" ref="E29">GetVMName(E13,E14,E15,E16,E9,E17)</f>
        <v>vm_sql-test-xops-ops--01</v>
      </c>
    </row>
    <row r="30" spans="1:5" ht="14.4" customHeight="1" x14ac:dyDescent="0.25">
      <c r="A30" s="178"/>
      <c r="B30" s="43" t="s">
        <v>285</v>
      </c>
      <c r="C30" s="117" t="str">
        <f>IF(C29="","",LEFT(C29,15))</f>
        <v>vm_web-test-xop</v>
      </c>
      <c r="D30" s="117" t="str">
        <f t="shared" ref="D30:E30" si="0">IF(D29="","",LEFT(D29,15))</f>
        <v>vm_app-test-xop</v>
      </c>
      <c r="E30" s="117" t="str">
        <f t="shared" si="0"/>
        <v>vm_sql-test-xop</v>
      </c>
    </row>
    <row r="31" spans="1:5" x14ac:dyDescent="0.25">
      <c r="A31" s="178"/>
      <c r="B31" s="43" t="s">
        <v>248</v>
      </c>
      <c r="C31" s="117" t="str" cm="1">
        <f t="array" ref="C31">GetNsgName(C29)</f>
        <v>vm_web-test-xops-ops-ne-01-nsg</v>
      </c>
      <c r="D31" s="117" t="str" cm="1">
        <f t="array" ref="D31">GetNsgName(D29)</f>
        <v>vm_app-test-xops-ops--01-nsg</v>
      </c>
      <c r="E31" s="117" t="str" cm="1">
        <f t="array" ref="E31">GetNsgName(E29)</f>
        <v>vm_sql-test-xops-ops--01-nsg</v>
      </c>
    </row>
    <row r="32" spans="1:5" x14ac:dyDescent="0.25">
      <c r="A32" s="178"/>
      <c r="B32" s="43" t="s">
        <v>249</v>
      </c>
      <c r="C32" s="117" t="str" cm="1">
        <f t="array" ref="C32">GetNicName(C29)</f>
        <v>vm_web-test-xops-ops-ne-01-nic</v>
      </c>
      <c r="D32" s="117" t="str" cm="1">
        <f t="array" ref="D32">GetNicName(D29)</f>
        <v>vm_app-test-xops-ops--01-nic</v>
      </c>
      <c r="E32" s="117" t="str" cm="1">
        <f t="array" ref="E32">GetNicName(E29)</f>
        <v>vm_sql-test-xops-ops--01-nic</v>
      </c>
    </row>
    <row r="33" spans="1:5" x14ac:dyDescent="0.25">
      <c r="A33" s="178"/>
      <c r="B33" s="43" t="s">
        <v>250</v>
      </c>
      <c r="C33" s="117" t="str" cm="1">
        <f t="array" ref="C33">GetOSDiskName(C29)</f>
        <v>vm_web-test-xops-ops-ne-01-osdisk</v>
      </c>
      <c r="D33" s="117" t="str" cm="1">
        <f t="array" ref="D33">GetOSDiskName(D29)</f>
        <v>vm_app-test-xops-ops--01-osdisk</v>
      </c>
      <c r="E33" s="117" t="str" cm="1">
        <f t="array" ref="E33">GetOSDiskName(E29)</f>
        <v>vm_sql-test-xops-ops--01-osdisk</v>
      </c>
    </row>
    <row r="34" spans="1:5" x14ac:dyDescent="0.25">
      <c r="A34" s="179"/>
      <c r="B34" s="43" t="s">
        <v>246</v>
      </c>
      <c r="C34" s="117" t="str" cm="1">
        <f t="array" ref="C34">IF(C25="","",GetDataDiskName(C29))</f>
        <v/>
      </c>
      <c r="D34" s="117" t="str" cm="1">
        <f t="array" ref="D34">IF(D25="","",GetDataDiskName(D29))</f>
        <v>vm_app-test-xops-ops--01-datadisk</v>
      </c>
      <c r="E34" s="117" t="str" cm="1">
        <f t="array" ref="E34">IF(E25="","",GetDataDiskName(E29))</f>
        <v>vm_sql-test-xops-ops--01-datadisk</v>
      </c>
    </row>
    <row r="35" spans="1:5" x14ac:dyDescent="0.25">
      <c r="A35" s="119"/>
      <c r="B35" s="43"/>
      <c r="C35" s="13"/>
      <c r="D35" s="13"/>
      <c r="E35" s="13"/>
    </row>
    <row r="36" spans="1:5" x14ac:dyDescent="0.25">
      <c r="A36" s="119"/>
      <c r="B36" s="43"/>
      <c r="C36" s="13"/>
      <c r="D36" s="13"/>
      <c r="E36" s="13"/>
    </row>
    <row r="37" spans="1:5" x14ac:dyDescent="0.25">
      <c r="A37" s="119"/>
      <c r="B37" s="43"/>
      <c r="C37" s="13"/>
      <c r="D37" s="13"/>
      <c r="E37" s="13"/>
    </row>
    <row r="38" spans="1:5" x14ac:dyDescent="0.25">
      <c r="A38" s="178" t="s">
        <v>53</v>
      </c>
      <c r="B38" s="43" t="s">
        <v>257</v>
      </c>
      <c r="C38" s="116" t="s">
        <v>261</v>
      </c>
      <c r="D38" s="116" t="s">
        <v>261</v>
      </c>
      <c r="E38" s="116" t="s">
        <v>261</v>
      </c>
    </row>
    <row r="39" spans="1:5" x14ac:dyDescent="0.25">
      <c r="A39" s="178"/>
      <c r="B39" s="43" t="s">
        <v>258</v>
      </c>
      <c r="C39" s="116" t="s">
        <v>262</v>
      </c>
      <c r="D39" s="116" t="s">
        <v>262</v>
      </c>
      <c r="E39" s="116" t="s">
        <v>262</v>
      </c>
    </row>
    <row r="40" spans="1:5" x14ac:dyDescent="0.25">
      <c r="A40" s="178"/>
      <c r="B40" s="43" t="s">
        <v>259</v>
      </c>
      <c r="C40" s="116" t="b">
        <v>1</v>
      </c>
      <c r="D40" s="116" t="s">
        <v>262</v>
      </c>
      <c r="E40" s="116" t="s">
        <v>262</v>
      </c>
    </row>
    <row r="41" spans="1:5" x14ac:dyDescent="0.25">
      <c r="A41" s="178"/>
      <c r="B41" s="43" t="s">
        <v>260</v>
      </c>
      <c r="C41" s="116" t="s">
        <v>263</v>
      </c>
      <c r="D41" s="116" t="s">
        <v>263</v>
      </c>
      <c r="E41" s="116" t="s">
        <v>263</v>
      </c>
    </row>
    <row r="42" spans="1:5" x14ac:dyDescent="0.25">
      <c r="A42" s="178"/>
      <c r="B42" s="43"/>
      <c r="C42" s="116"/>
      <c r="D42" s="116"/>
      <c r="E42" s="116"/>
    </row>
    <row r="43" spans="1:5" x14ac:dyDescent="0.25">
      <c r="A43" s="178"/>
      <c r="B43" s="43"/>
      <c r="C43" s="116"/>
      <c r="D43" s="116"/>
      <c r="E43" s="116"/>
    </row>
    <row r="44" spans="1:5" x14ac:dyDescent="0.25">
      <c r="A44" s="178"/>
      <c r="B44" s="43"/>
      <c r="C44" s="116"/>
      <c r="D44" s="116"/>
      <c r="E44" s="116"/>
    </row>
    <row r="45" spans="1:5" ht="75" customHeight="1" x14ac:dyDescent="0.25">
      <c r="A45" s="179"/>
      <c r="B45" s="121" t="s">
        <v>270</v>
      </c>
      <c r="C45" s="120" t="str" cm="1">
        <f t="array" ref="C45">BuildTagString($B$38:$B$44,C38:C44)</f>
        <v xml:space="preserve">"CloudGuard-Internet=REGULAR" "CloudGuard-KMSAzure=TRUE" "CloudGuard-WindowsUpdate=True" "secured_by=CrowdStrike&amp;Qualys" </v>
      </c>
      <c r="D45" s="120" t="str" cm="1">
        <f t="array" ref="D45">BuildTagString($B$38:$B$44,D38:D44)</f>
        <v xml:space="preserve">"CloudGuard-Internet=REGULAR" "CloudGuard-KMSAzure=TRUE" "CloudGuard-WindowsUpdate=TRUE" "secured_by=CrowdStrike&amp;Qualys" </v>
      </c>
      <c r="E45" s="120" t="str" cm="1">
        <f t="array" ref="E45">BuildTagString($B$38:$B$44,E38:E44)</f>
        <v xml:space="preserve">"CloudGuard-Internet=REGULAR" "CloudGuard-KMSAzure=TRUE" "CloudGuard-WindowsUpdate=TRUE" "secured_by=CrowdStrike&amp;Qualys" </v>
      </c>
    </row>
    <row r="47" spans="1:5" x14ac:dyDescent="0.25">
      <c r="C47" s="105" t="s">
        <v>44</v>
      </c>
      <c r="D47" s="105" t="s">
        <v>44</v>
      </c>
      <c r="E47" s="105" t="s">
        <v>44</v>
      </c>
    </row>
    <row r="48" spans="1:5" ht="126" customHeight="1" x14ac:dyDescent="0.25">
      <c r="B48" s="43" t="s">
        <v>281</v>
      </c>
      <c r="C48" s="124" t="str" cm="1">
        <f t="array" ref="C48">cli_creatensg($C$5)</f>
        <v>To do</v>
      </c>
      <c r="D48" s="123"/>
      <c r="E48" s="123"/>
    </row>
    <row r="49" spans="2:3" ht="77.400000000000006" customHeight="1" x14ac:dyDescent="0.25">
      <c r="B49" s="43" t="s">
        <v>282</v>
      </c>
      <c r="C49" s="124" t="str" cm="1">
        <f t="array" ref="C49">cli_createNic($C$8,C32,"???",$C$10)</f>
        <v>To do</v>
      </c>
    </row>
    <row r="50" spans="2:3" ht="86.4" customHeight="1" x14ac:dyDescent="0.25">
      <c r="B50" s="43" t="s">
        <v>283</v>
      </c>
      <c r="C50" s="124" t="str" cm="1">
        <f t="array" ref="C50">cli_createDisk($C$5)</f>
        <v>To do</v>
      </c>
    </row>
    <row r="51" spans="2:3" ht="89.4" customHeight="1" x14ac:dyDescent="0.25">
      <c r="B51" s="43" t="s">
        <v>284</v>
      </c>
      <c r="C51" s="124" t="str" cm="1">
        <f t="array" ref="C51">cli_createVM($C$5)</f>
        <v>To do</v>
      </c>
    </row>
  </sheetData>
  <mergeCells count="5">
    <mergeCell ref="A29:A34"/>
    <mergeCell ref="A3:A10"/>
    <mergeCell ref="A38:A45"/>
    <mergeCell ref="A13:A23"/>
    <mergeCell ref="A24:A26"/>
  </mergeCells>
  <phoneticPr fontId="2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5BCB9A8-4453-44BD-81BA-96631AEE5D33}">
          <x14:formula1>
            <xm:f>'#Data'!$G$2:$G$7</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AC07-14CF-4C09-B8CD-819878F3746E}">
  <sheetPr codeName="Sheet9">
    <tabColor rgb="FF7030A0"/>
  </sheetPr>
  <dimension ref="A1:E23"/>
  <sheetViews>
    <sheetView showGridLines="0" workbookViewId="0">
      <selection activeCell="I6" sqref="I6"/>
    </sheetView>
  </sheetViews>
  <sheetFormatPr defaultColWidth="9.109375" defaultRowHeight="12" x14ac:dyDescent="0.25"/>
  <cols>
    <col min="1" max="1" width="17.109375" style="1" customWidth="1"/>
    <col min="2" max="2" width="25.6640625" style="1" bestFit="1" customWidth="1"/>
    <col min="3" max="3" width="31.88671875" style="1" bestFit="1" customWidth="1"/>
    <col min="4" max="4" width="6.33203125" style="1" customWidth="1"/>
    <col min="5" max="5" width="1.88671875" style="1" customWidth="1"/>
    <col min="6" max="16384" width="9.109375" style="1"/>
  </cols>
  <sheetData>
    <row r="1" spans="1:5" ht="15.6" x14ac:dyDescent="0.3">
      <c r="A1" s="39" t="s">
        <v>90</v>
      </c>
    </row>
    <row r="7" spans="1:5" x14ac:dyDescent="0.25">
      <c r="A7" s="27"/>
      <c r="B7" s="24"/>
      <c r="C7" s="26"/>
      <c r="D7" s="29"/>
      <c r="E7" s="29"/>
    </row>
    <row r="8" spans="1:5" x14ac:dyDescent="0.25">
      <c r="A8" s="16" t="s">
        <v>55</v>
      </c>
      <c r="B8" s="15" t="s">
        <v>88</v>
      </c>
      <c r="C8" s="14" t="s">
        <v>89</v>
      </c>
      <c r="D8" s="14" t="s">
        <v>44</v>
      </c>
      <c r="E8" s="15" t="s">
        <v>84</v>
      </c>
    </row>
    <row r="9" spans="1:5" x14ac:dyDescent="0.25">
      <c r="A9" s="13" t="s">
        <v>184</v>
      </c>
      <c r="B9" s="12" t="str" cm="1">
        <f t="array" ref="B9">GetSubscriptionName(Table_Subscription[[#This Row],[Subscription]])</f>
        <v>DS SESWAYOSANDBOX DEV 01 IS</v>
      </c>
      <c r="C9" s="11" t="str" cm="1">
        <f t="array" ref="C9">GetSubscriptionID(Table_Subscription[[#This Row],[Subscription]])</f>
        <v>480c4dad-9dc0-4d1d-9f65-813a4365d5c9</v>
      </c>
      <c r="D9" s="30" t="str" cm="1">
        <f t="array" ref="D9">CLI_SelectSubscription(Table_Subscription[[#This Row],[Subscription ID]])</f>
        <v>az account set --subscription 480c4dad-9dc0-4d1d-9f65-813a4365d5c9</v>
      </c>
      <c r="E9" s="32" t="str">
        <f>IF(Table_Subscription[[#This Row],[Script]]="","",".")</f>
        <v>.</v>
      </c>
    </row>
    <row r="10" spans="1:5" x14ac:dyDescent="0.25">
      <c r="A10" s="10"/>
      <c r="B10" s="9" t="str" cm="1">
        <f t="array" ref="B10">GetSubscriptionName(Table_Subscription[[#This Row],[Subscription]])</f>
        <v/>
      </c>
      <c r="C10" s="11" t="str" cm="1">
        <f t="array" ref="C10">GetSubscriptionID(Table_Subscription[[#This Row],[Subscription]])</f>
        <v/>
      </c>
      <c r="D10" s="31" t="str" cm="1">
        <f t="array" ref="D10">CLI_SelectSubscription(Table_Subscription[[#This Row],[Subscription ID]])</f>
        <v/>
      </c>
      <c r="E10" s="33" t="str">
        <f>IF(Table_Subscription[[#This Row],[Script]]="","",".")</f>
        <v/>
      </c>
    </row>
    <row r="11" spans="1:5" x14ac:dyDescent="0.25">
      <c r="A11" s="10" t="s">
        <v>180</v>
      </c>
      <c r="B11" s="9" t="str" cm="1">
        <f t="array" ref="B11">GetSubscriptionName(Table_Subscription[[#This Row],[Subscription]])</f>
        <v>DS SESWAYO DEV 01</v>
      </c>
      <c r="C11" s="11" t="str" cm="1">
        <f t="array" ref="C11">GetSubscriptionID(Table_Subscription[[#This Row],[Subscription]])</f>
        <v>e1a78a6b-2cce-46ab-a83f-5d4d924dcba9</v>
      </c>
      <c r="D11" s="31" t="str" cm="1">
        <f t="array" ref="D11">CLI_SelectSubscription(Table_Subscription[[#This Row],[Subscription ID]])</f>
        <v>az account set --subscription e1a78a6b-2cce-46ab-a83f-5d4d924dcba9</v>
      </c>
      <c r="E11" s="33" t="str">
        <f>IF(Table_Subscription[[#This Row],[Script]]="","",".")</f>
        <v>.</v>
      </c>
    </row>
    <row r="12" spans="1:5" x14ac:dyDescent="0.25">
      <c r="A12" s="13" t="s">
        <v>181</v>
      </c>
      <c r="B12" s="35" t="str" cm="1">
        <f t="array" ref="B12">GetSubscriptionName(Table_Subscription[[#This Row],[Subscription]])</f>
        <v>DS SESWAYOSUEZ PRD 01</v>
      </c>
      <c r="C12" s="11" t="str" cm="1">
        <f t="array" ref="C12">GetSubscriptionID(Table_Subscription[[#This Row],[Subscription]])</f>
        <v>af9f6198-6bb3-4dcf-aa26-3626cb338b4d</v>
      </c>
      <c r="D12" s="36" t="str" cm="1">
        <f t="array" ref="D12">CLI_SelectSubscription(Table_Subscription[[#This Row],[Subscription ID]])</f>
        <v>az account set --subscription af9f6198-6bb3-4dcf-aa26-3626cb338b4d</v>
      </c>
      <c r="E12" s="33" t="str">
        <f>IF(Table_Subscription[[#This Row],[Script]]="","",".")</f>
        <v>.</v>
      </c>
    </row>
    <row r="13" spans="1:5" x14ac:dyDescent="0.25">
      <c r="A13" s="13" t="s">
        <v>12</v>
      </c>
      <c r="B13" s="35" t="str" cm="1">
        <f t="array" ref="B13">GetSubscriptionName(Table_Subscription[[#This Row],[Subscription]])</f>
        <v>SUEZ Smart Solutions</v>
      </c>
      <c r="C13" s="11" t="str" cm="1">
        <f t="array" ref="C13">GetSubscriptionID(Table_Subscription[[#This Row],[Subscription]])</f>
        <v>94431bcc-2056-4ebd-9a9c-cb4d062ec243</v>
      </c>
      <c r="D13" s="36" t="str" cm="1">
        <f t="array" ref="D13">CLI_SelectSubscription(Table_Subscription[[#This Row],[Subscription ID]])</f>
        <v>az account set --subscription 94431bcc-2056-4ebd-9a9c-cb4d062ec243</v>
      </c>
      <c r="E13" s="33" t="str">
        <f>IF(Table_Subscription[[#This Row],[Script]]="","",".")</f>
        <v>.</v>
      </c>
    </row>
    <row r="14" spans="1:5" x14ac:dyDescent="0.25">
      <c r="A14" s="13"/>
      <c r="B14" s="35" t="str" cm="1">
        <f t="array" ref="B14">GetSubscriptionName(Table_Subscription[[#This Row],[Subscription]])</f>
        <v/>
      </c>
      <c r="C14" s="11" t="str" cm="1">
        <f t="array" ref="C14">GetSubscriptionID(Table_Subscription[[#This Row],[Subscription]])</f>
        <v/>
      </c>
      <c r="D14" s="36" t="str" cm="1">
        <f t="array" ref="D14">CLI_SelectSubscription(Table_Subscription[[#This Row],[Subscription ID]])</f>
        <v/>
      </c>
      <c r="E14" s="33" t="str">
        <f>IF(Table_Subscription[[#This Row],[Script]]="","",".")</f>
        <v/>
      </c>
    </row>
    <row r="15" spans="1:5" x14ac:dyDescent="0.25">
      <c r="A15" s="13" t="s">
        <v>183</v>
      </c>
      <c r="B15" s="35" t="str" cm="1">
        <f t="array" ref="B15">GetSubscriptionName(Table_Subscription[[#This Row],[Subscription]])</f>
        <v>DS SESWAYOHUB PRD 01 IS</v>
      </c>
      <c r="C15" s="11" t="str" cm="1">
        <f t="array" ref="C15">GetSubscriptionID(Table_Subscription[[#This Row],[Subscription]])</f>
        <v>55173195-9a7e-486e-8c8d-4740bcbcb111</v>
      </c>
      <c r="D15" s="36" t="str" cm="1">
        <f t="array" ref="D15">CLI_SelectSubscription(Table_Subscription[[#This Row],[Subscription ID]])</f>
        <v>az account set --subscription 55173195-9a7e-486e-8c8d-4740bcbcb111</v>
      </c>
      <c r="E15" s="33" t="str">
        <f>IF(Table_Subscription[[#This Row],[Script]]="","",".")</f>
        <v>.</v>
      </c>
    </row>
    <row r="16" spans="1:5" x14ac:dyDescent="0.25">
      <c r="A16" s="13" t="s">
        <v>182</v>
      </c>
      <c r="B16" s="35" t="str" cm="1">
        <f t="array" ref="B16">GetSubscriptionName(Table_Subscription[[#This Row],[Subscription]])</f>
        <v>DS SESWAYO DEV 01 IS</v>
      </c>
      <c r="C16" s="6" t="str" cm="1">
        <f t="array" ref="C16">GetSubscriptionID(Table_Subscription[[#This Row],[Subscription]])</f>
        <v>62c82006-9f6b-4a7f-a142-50f557c7e0e7</v>
      </c>
      <c r="D16" s="36" t="str" cm="1">
        <f t="array" ref="D16">CLI_SelectSubscription(Table_Subscription[[#This Row],[Subscription ID]])</f>
        <v>az account set --subscription 62c82006-9f6b-4a7f-a142-50f557c7e0e7</v>
      </c>
      <c r="E16" s="33" t="str">
        <f>IF(Table_Subscription[[#This Row],[Script]]="","",".")</f>
        <v>.</v>
      </c>
    </row>
    <row r="17" spans="1:5" x14ac:dyDescent="0.25">
      <c r="A17" s="10" t="s">
        <v>179</v>
      </c>
      <c r="B17" s="9" t="str" cm="1">
        <f t="array" ref="B17">GetSubscriptionName(Table_Subscription[[#This Row],[Subscription]])</f>
        <v>DS SESWAYO PRD 01 IS</v>
      </c>
      <c r="C17" s="11" t="str" cm="1">
        <f t="array" ref="C17">GetSubscriptionID(Table_Subscription[[#This Row],[Subscription]])</f>
        <v>2681ae91-bcc8-46aa-8fdc-db2a51fea5d8</v>
      </c>
      <c r="D17" s="31" t="str" cm="1">
        <f t="array" ref="D17">CLI_SelectSubscription(Table_Subscription[[#This Row],[Subscription ID]])</f>
        <v>az account set --subscription 2681ae91-bcc8-46aa-8fdc-db2a51fea5d8</v>
      </c>
      <c r="E17" s="34" t="str">
        <f>IF(Table_Subscription[[#This Row],[Script]]="","",".")</f>
        <v>.</v>
      </c>
    </row>
    <row r="23" spans="1:5" x14ac:dyDescent="0.25">
      <c r="D23" s="1" t="s">
        <v>82</v>
      </c>
    </row>
  </sheetData>
  <conditionalFormatting sqref="C9:C17">
    <cfRule type="expression" dxfId="107" priority="1">
      <formula>C9="Unknown"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ScriptSubscription">
                <anchor moveWithCells="1" sizeWithCells="1">
                  <from>
                    <xdr:col>5</xdr:col>
                    <xdr:colOff>381000</xdr:colOff>
                    <xdr:row>16</xdr:row>
                    <xdr:rowOff>83820</xdr:rowOff>
                  </from>
                  <to>
                    <xdr:col>6</xdr:col>
                    <xdr:colOff>533400</xdr:colOff>
                    <xdr:row>18</xdr:row>
                    <xdr:rowOff>68580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sheetPr>
  <dimension ref="A1:K16"/>
  <sheetViews>
    <sheetView showGridLines="0" workbookViewId="0">
      <selection activeCell="F36" sqref="F36"/>
    </sheetView>
  </sheetViews>
  <sheetFormatPr defaultColWidth="9.109375" defaultRowHeight="12" x14ac:dyDescent="0.25"/>
  <cols>
    <col min="1" max="1" width="19.5546875" style="1" bestFit="1" customWidth="1"/>
    <col min="2" max="2" width="11.6640625" style="1" bestFit="1" customWidth="1"/>
    <col min="3" max="3" width="10" style="1" bestFit="1" customWidth="1"/>
    <col min="4" max="4" width="5.88671875" style="1" bestFit="1" customWidth="1"/>
    <col min="5" max="5" width="6.88671875" style="1" bestFit="1" customWidth="1"/>
    <col min="6" max="6" width="17.44140625" style="1" bestFit="1" customWidth="1"/>
    <col min="7" max="8" width="9.33203125" style="1" customWidth="1"/>
    <col min="9" max="9" width="12.5546875" style="1" bestFit="1" customWidth="1"/>
    <col min="10" max="10" width="9.33203125" style="1" customWidth="1"/>
    <col min="11" max="11" width="1.44140625" style="1" bestFit="1" customWidth="1"/>
    <col min="12" max="16384" width="9.109375" style="1"/>
  </cols>
  <sheetData>
    <row r="1" spans="1:11" ht="15.6" x14ac:dyDescent="0.3">
      <c r="A1" s="39" t="s">
        <v>87</v>
      </c>
    </row>
    <row r="3" spans="1:11" x14ac:dyDescent="0.25">
      <c r="A3" s="184" t="s">
        <v>65</v>
      </c>
      <c r="B3" s="184"/>
      <c r="C3" s="184"/>
      <c r="D3" s="184"/>
      <c r="E3" s="184"/>
      <c r="F3" s="184"/>
      <c r="G3" s="184"/>
      <c r="H3" s="184"/>
      <c r="I3" s="184"/>
      <c r="J3" s="184"/>
    </row>
    <row r="7" spans="1:11" x14ac:dyDescent="0.25">
      <c r="A7" s="27"/>
      <c r="B7" s="37"/>
      <c r="C7" s="37"/>
      <c r="D7" s="37"/>
      <c r="E7" s="37"/>
      <c r="F7" s="37"/>
      <c r="G7" s="25"/>
      <c r="H7" s="25"/>
      <c r="I7" s="25"/>
      <c r="J7" s="29"/>
      <c r="K7" s="29"/>
    </row>
    <row r="8" spans="1:11" x14ac:dyDescent="0.25">
      <c r="A8" s="16" t="s">
        <v>36</v>
      </c>
      <c r="B8" s="16" t="s">
        <v>51</v>
      </c>
      <c r="C8" s="15" t="s">
        <v>50</v>
      </c>
      <c r="D8" s="15" t="s">
        <v>59</v>
      </c>
      <c r="E8" s="15" t="s">
        <v>60</v>
      </c>
      <c r="F8" s="15" t="s">
        <v>61</v>
      </c>
      <c r="G8" s="15" t="s">
        <v>62</v>
      </c>
      <c r="H8" s="14" t="s">
        <v>68</v>
      </c>
      <c r="I8" s="14" t="s">
        <v>69</v>
      </c>
      <c r="J8" s="14" t="s">
        <v>44</v>
      </c>
      <c r="K8" s="15" t="s">
        <v>84</v>
      </c>
    </row>
    <row r="9" spans="1:11" x14ac:dyDescent="0.25">
      <c r="A9" s="13" t="s">
        <v>67</v>
      </c>
      <c r="B9" s="13" t="s">
        <v>43</v>
      </c>
      <c r="C9" s="5" t="s">
        <v>41</v>
      </c>
      <c r="D9" s="5" t="s">
        <v>40</v>
      </c>
      <c r="E9" s="5">
        <v>1</v>
      </c>
      <c r="F9" s="17" t="str" cm="1">
        <f t="array" ref="F9">CreateResourceName("vnet", Table_VNet[[#This Row],[Customer]],Table_VNet[[#This Row],[Environment]],Table_VNet[[#This Row],[Region]],Table_VNet[[#This Row],[Instance]])</f>
        <v>vnet-multi-dev-ne-01</v>
      </c>
      <c r="G9" s="5" t="s">
        <v>63</v>
      </c>
      <c r="H9" s="22" t="s">
        <v>70</v>
      </c>
      <c r="I9" s="22" t="s">
        <v>64</v>
      </c>
      <c r="J9" s="38" t="str" cm="1">
        <f t="array" ref="J9">CLI_CreateVNet(Table_VNet[[#This Row],[vnet]],Table_VNet[[#This Row],[Resource Group]],Table_VNet[[#This Row],[IP Adresses]],Table_VNet[[#This Row],[Subnet]],Table_VNet[[#This Row],[Subnet Adresses]])</f>
        <v>az network vnet create --name vnet-multi-dev-ne-01 --resource-group rg-tests-eddy-dev-ne-01 --address-prefix 10.0.0.0/16 --subnet-name default --subnet-prefix 10.0.0.0/24</v>
      </c>
      <c r="K9" s="41" t="str">
        <f>IF(Table_VNet[[#This Row],[Script]]="","",".")</f>
        <v>.</v>
      </c>
    </row>
    <row r="10" spans="1:11" x14ac:dyDescent="0.25">
      <c r="A10" s="13"/>
      <c r="B10" s="13"/>
      <c r="C10" s="5"/>
      <c r="D10" s="5"/>
      <c r="E10" s="5"/>
      <c r="F10" s="17" t="str" cm="1">
        <f t="array" ref="F10">CreateResourceName("vnet", Table_VNet[[#This Row],[Customer]],Table_VNet[[#This Row],[Environment]],Table_VNet[[#This Row],[Region]],Table_VNet[[#This Row],[Instance]])</f>
        <v/>
      </c>
      <c r="G10" s="5"/>
      <c r="H10" s="22"/>
      <c r="I10" s="22"/>
      <c r="J10" s="19" t="str" cm="1">
        <f t="array" ref="J10">CLI_CreateVNet(Table_VNet[[#This Row],[vnet]],Table_VNet[[#This Row],[Resource Group]],Table_VNet[[#This Row],[IP Adresses]],Table_VNet[[#This Row],[Subnet]],Table_VNet[[#This Row],[Subnet Adresses]])</f>
        <v/>
      </c>
      <c r="K10" s="40" t="str">
        <f>IF(Table_VNet[[#This Row],[Script]]="","",".")</f>
        <v/>
      </c>
    </row>
    <row r="11" spans="1:11" x14ac:dyDescent="0.25">
      <c r="A11" s="13"/>
      <c r="B11" s="13"/>
      <c r="C11" s="5"/>
      <c r="D11" s="5"/>
      <c r="E11" s="5"/>
      <c r="F11" s="17" t="str" cm="1">
        <f t="array" ref="F11">CreateResourceName("vnet", Table_VNet[[#This Row],[Customer]],Table_VNet[[#This Row],[Environment]],Table_VNet[[#This Row],[Region]],Table_VNet[[#This Row],[Instance]])</f>
        <v/>
      </c>
      <c r="G11" s="5"/>
      <c r="H11" s="22"/>
      <c r="I11" s="22"/>
      <c r="J11" s="19" t="str" cm="1">
        <f t="array" ref="J11">CLI_CreateVNet(Table_VNet[[#This Row],[vnet]],Table_VNet[[#This Row],[Resource Group]],Table_VNet[[#This Row],[IP Adresses]],Table_VNet[[#This Row],[Subnet]],Table_VNet[[#This Row],[Subnet Adresses]])</f>
        <v/>
      </c>
      <c r="K11" s="40" t="str">
        <f>IF(Table_VNet[[#This Row],[Script]]="","",".")</f>
        <v/>
      </c>
    </row>
    <row r="12" spans="1:11" x14ac:dyDescent="0.25">
      <c r="A12" s="13"/>
      <c r="B12" s="13"/>
      <c r="C12" s="5"/>
      <c r="D12" s="5"/>
      <c r="E12" s="5"/>
      <c r="F12" s="17" t="str" cm="1">
        <f t="array" ref="F12">CreateResourceName("vnet", Table_VNet[[#This Row],[Customer]],Table_VNet[[#This Row],[Environment]],Table_VNet[[#This Row],[Region]],Table_VNet[[#This Row],[Instance]])</f>
        <v/>
      </c>
      <c r="G12" s="5"/>
      <c r="H12" s="22"/>
      <c r="I12" s="22"/>
      <c r="J12" s="19" t="str" cm="1">
        <f t="array" ref="J12">CLI_CreateVNet(Table_VNet[[#This Row],[vnet]],Table_VNet[[#This Row],[Resource Group]],Table_VNet[[#This Row],[IP Adresses]],Table_VNet[[#This Row],[Subnet]],Table_VNet[[#This Row],[Subnet Adresses]])</f>
        <v/>
      </c>
      <c r="K12" s="40" t="str">
        <f>IF(Table_VNet[[#This Row],[Script]]="","",".")</f>
        <v/>
      </c>
    </row>
    <row r="13" spans="1:11" x14ac:dyDescent="0.25">
      <c r="A13" s="13"/>
      <c r="B13" s="13"/>
      <c r="C13" s="5"/>
      <c r="D13" s="5"/>
      <c r="E13" s="5"/>
      <c r="F13" s="17" t="str" cm="1">
        <f t="array" ref="F13">CreateResourceName("vnet", Table_VNet[[#This Row],[Customer]],Table_VNet[[#This Row],[Environment]],Table_VNet[[#This Row],[Region]],Table_VNet[[#This Row],[Instance]])</f>
        <v/>
      </c>
      <c r="G13" s="5"/>
      <c r="H13" s="22"/>
      <c r="I13" s="22"/>
      <c r="J13" s="19" t="str" cm="1">
        <f t="array" ref="J13">CLI_CreateVNet(Table_VNet[[#This Row],[vnet]],Table_VNet[[#This Row],[Resource Group]],Table_VNet[[#This Row],[IP Adresses]],Table_VNet[[#This Row],[Subnet]],Table_VNet[[#This Row],[Subnet Adresses]])</f>
        <v/>
      </c>
      <c r="K13" s="40" t="str">
        <f>IF(Table_VNet[[#This Row],[Script]]="","",".")</f>
        <v/>
      </c>
    </row>
    <row r="14" spans="1:11" x14ac:dyDescent="0.25">
      <c r="A14" s="13"/>
      <c r="B14" s="13"/>
      <c r="C14" s="5"/>
      <c r="D14" s="5"/>
      <c r="E14" s="5"/>
      <c r="F14" s="17" t="str" cm="1">
        <f t="array" ref="F14">CreateResourceName("vnet", Table_VNet[[#This Row],[Customer]],Table_VNet[[#This Row],[Environment]],Table_VNet[[#This Row],[Region]],Table_VNet[[#This Row],[Instance]])</f>
        <v/>
      </c>
      <c r="G14" s="5"/>
      <c r="H14" s="22"/>
      <c r="I14" s="22"/>
      <c r="J14" s="19" t="str" cm="1">
        <f t="array" ref="J14">CLI_CreateVNet(Table_VNet[[#This Row],[vnet]],Table_VNet[[#This Row],[Resource Group]],Table_VNet[[#This Row],[IP Adresses]],Table_VNet[[#This Row],[Subnet]],Table_VNet[[#This Row],[Subnet Adresses]])</f>
        <v/>
      </c>
      <c r="K14" s="40" t="str">
        <f>IF(Table_VNet[[#This Row],[Script]]="","",".")</f>
        <v/>
      </c>
    </row>
    <row r="15" spans="1:11" x14ac:dyDescent="0.25">
      <c r="A15" s="13"/>
      <c r="B15" s="13"/>
      <c r="C15" s="5"/>
      <c r="D15" s="5"/>
      <c r="E15" s="5"/>
      <c r="F15" s="17" t="str" cm="1">
        <f t="array" ref="F15">CreateResourceName("vnet", Table_VNet[[#This Row],[Customer]],Table_VNet[[#This Row],[Environment]],Table_VNet[[#This Row],[Region]],Table_VNet[[#This Row],[Instance]])</f>
        <v/>
      </c>
      <c r="G15" s="5"/>
      <c r="H15" s="22"/>
      <c r="I15" s="22"/>
      <c r="J15" s="19" t="str" cm="1">
        <f t="array" ref="J15">CLI_CreateVNet(Table_VNet[[#This Row],[vnet]],Table_VNet[[#This Row],[Resource Group]],Table_VNet[[#This Row],[IP Adresses]],Table_VNet[[#This Row],[Subnet]],Table_VNet[[#This Row],[Subnet Adresses]])</f>
        <v/>
      </c>
      <c r="K15" s="40" t="str">
        <f>IF(Table_VNet[[#This Row],[Script]]="","",".")</f>
        <v/>
      </c>
    </row>
    <row r="16" spans="1:11" x14ac:dyDescent="0.25">
      <c r="A16" s="10"/>
      <c r="B16" s="10"/>
      <c r="C16" s="8"/>
      <c r="D16" s="8"/>
      <c r="E16" s="8"/>
      <c r="F16" s="18" t="str" cm="1">
        <f t="array" ref="F16">CreateResourceName("vnet", Table_VNet[[#This Row],[Customer]],Table_VNet[[#This Row],[Environment]],Table_VNet[[#This Row],[Region]],Table_VNet[[#This Row],[Instance]])</f>
        <v/>
      </c>
      <c r="G16" s="5"/>
      <c r="H16" s="7"/>
      <c r="I16" s="7"/>
      <c r="J16" s="20" t="str" cm="1">
        <f t="array" ref="J16">CLI_CreateVNet(Table_VNet[[#This Row],[vnet]],Table_VNet[[#This Row],[Resource Group]],Table_VNet[[#This Row],[IP Adresses]],Table_VNet[[#This Row],[Subnet]],Table_VNet[[#This Row],[Subnet Adresses]])</f>
        <v/>
      </c>
      <c r="K16" s="42" t="str">
        <f>IF(Table_VNet[[#This Row],[Script]]="","",".")</f>
        <v/>
      </c>
    </row>
  </sheetData>
  <mergeCells count="1">
    <mergeCell ref="A3:J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_ResourceGroup">
              <controlPr defaultSize="0" print="0" autoFill="0" autoPict="0" macro="[0]!CopyScriptVNet">
                <anchor moveWithCells="1" sizeWithCells="1">
                  <from>
                    <xdr:col>11</xdr:col>
                    <xdr:colOff>327660</xdr:colOff>
                    <xdr:row>18</xdr:row>
                    <xdr:rowOff>0</xdr:rowOff>
                  </from>
                  <to>
                    <xdr:col>12</xdr:col>
                    <xdr:colOff>480060</xdr:colOff>
                    <xdr:row>19</xdr:row>
                    <xdr:rowOff>137160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9354B-8334-41C6-80D5-9EE2E8C05183}">
  <sheetPr codeName="Feuil4">
    <tabColor theme="1"/>
  </sheetPr>
  <dimension ref="A1"/>
  <sheetViews>
    <sheetView showGridLines="0" workbookViewId="0">
      <selection activeCell="I6" sqref="I6"/>
    </sheetView>
  </sheetViews>
  <sheetFormatPr defaultColWidth="8.88671875" defaultRowHeight="14.4" x14ac:dyDescent="0.3"/>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972E0-3E5E-41E6-A887-1D0142A9234C}">
  <sheetPr codeName="Sheet4"/>
  <dimension ref="A1:B25"/>
  <sheetViews>
    <sheetView workbookViewId="0">
      <selection activeCell="I6" sqref="I6"/>
    </sheetView>
  </sheetViews>
  <sheetFormatPr defaultColWidth="8.88671875" defaultRowHeight="14.4" x14ac:dyDescent="0.3"/>
  <cols>
    <col min="2" max="2" width="46.109375" customWidth="1"/>
  </cols>
  <sheetData>
    <row r="1" spans="1:2" x14ac:dyDescent="0.3">
      <c r="A1" s="1"/>
      <c r="B1" s="1"/>
    </row>
    <row r="2" spans="1:2" x14ac:dyDescent="0.3">
      <c r="A2" s="88" t="s">
        <v>36</v>
      </c>
      <c r="B2" s="89" t="s">
        <v>157</v>
      </c>
    </row>
    <row r="3" spans="1:2" x14ac:dyDescent="0.3">
      <c r="A3" s="4" t="s">
        <v>158</v>
      </c>
      <c r="B3" s="5" t="s">
        <v>159</v>
      </c>
    </row>
    <row r="4" spans="1:2" x14ac:dyDescent="0.3">
      <c r="A4" s="1"/>
      <c r="B4" s="1"/>
    </row>
    <row r="5" spans="1:2" x14ac:dyDescent="0.3">
      <c r="A5" s="1"/>
      <c r="B5" s="1"/>
    </row>
    <row r="6" spans="1:2" x14ac:dyDescent="0.3">
      <c r="A6" s="1"/>
      <c r="B6" s="1"/>
    </row>
    <row r="7" spans="1:2" x14ac:dyDescent="0.3">
      <c r="A7" s="1"/>
      <c r="B7" s="1"/>
    </row>
    <row r="8" spans="1:2" x14ac:dyDescent="0.3">
      <c r="A8" s="90" t="s">
        <v>37</v>
      </c>
      <c r="B8" s="91"/>
    </row>
    <row r="9" spans="1:2" x14ac:dyDescent="0.3">
      <c r="A9" s="92">
        <v>21</v>
      </c>
      <c r="B9" s="93" t="str">
        <f t="shared" ref="B9:B24" si="0">IF(A9="","","az network lb inbound-nat-rule create -g "&amp;RGOLD&amp;"  --lb-name "&amp;LBOLD&amp;"   -n inat_"&amp;A9&amp;"   --protocol Tcp --frontend-port "&amp;A9&amp;" --backend-port "&amp;A9)</f>
        <v>az network lb inbound-nat-rule create -g rg-services-wayo-prodtemp-ne  --lb-name lbe-multi-multi-prodtemp-ne   -n inat_21   --protocol Tcp --frontend-port 21 --backend-port 21</v>
      </c>
    </row>
    <row r="10" spans="1:2" x14ac:dyDescent="0.3">
      <c r="A10" s="92">
        <v>21001</v>
      </c>
      <c r="B10" s="93" t="str">
        <f t="shared" si="0"/>
        <v>az network lb inbound-nat-rule create -g rg-services-wayo-prodtemp-ne  --lb-name lbe-multi-multi-prodtemp-ne   -n inat_21001   --protocol Tcp --frontend-port 21001 --backend-port 21001</v>
      </c>
    </row>
    <row r="11" spans="1:2" x14ac:dyDescent="0.3">
      <c r="A11" s="92">
        <v>21002</v>
      </c>
      <c r="B11" s="93" t="str">
        <f t="shared" si="0"/>
        <v>az network lb inbound-nat-rule create -g rg-services-wayo-prodtemp-ne  --lb-name lbe-multi-multi-prodtemp-ne   -n inat_21002   --protocol Tcp --frontend-port 21002 --backend-port 21002</v>
      </c>
    </row>
    <row r="12" spans="1:2" x14ac:dyDescent="0.3">
      <c r="A12" s="92">
        <v>21003</v>
      </c>
      <c r="B12" s="93" t="str">
        <f t="shared" si="0"/>
        <v>az network lb inbound-nat-rule create -g rg-services-wayo-prodtemp-ne  --lb-name lbe-multi-multi-prodtemp-ne   -n inat_21003   --protocol Tcp --frontend-port 21003 --backend-port 21003</v>
      </c>
    </row>
    <row r="13" spans="1:2" x14ac:dyDescent="0.3">
      <c r="A13" s="92">
        <v>21004</v>
      </c>
      <c r="B13" s="93" t="str">
        <f t="shared" si="0"/>
        <v>az network lb inbound-nat-rule create -g rg-services-wayo-prodtemp-ne  --lb-name lbe-multi-multi-prodtemp-ne   -n inat_21004   --protocol Tcp --frontend-port 21004 --backend-port 21004</v>
      </c>
    </row>
    <row r="14" spans="1:2" x14ac:dyDescent="0.3">
      <c r="A14" s="92">
        <v>21005</v>
      </c>
      <c r="B14" s="93" t="str">
        <f t="shared" si="0"/>
        <v>az network lb inbound-nat-rule create -g rg-services-wayo-prodtemp-ne  --lb-name lbe-multi-multi-prodtemp-ne   -n inat_21005   --protocol Tcp --frontend-port 21005 --backend-port 21005</v>
      </c>
    </row>
    <row r="15" spans="1:2" x14ac:dyDescent="0.3">
      <c r="A15" s="92">
        <v>21006</v>
      </c>
      <c r="B15" s="93" t="str">
        <f t="shared" si="0"/>
        <v>az network lb inbound-nat-rule create -g rg-services-wayo-prodtemp-ne  --lb-name lbe-multi-multi-prodtemp-ne   -n inat_21006   --protocol Tcp --frontend-port 21006 --backend-port 21006</v>
      </c>
    </row>
    <row r="16" spans="1:2" x14ac:dyDescent="0.3">
      <c r="A16" s="92">
        <v>21007</v>
      </c>
      <c r="B16" s="93" t="str">
        <f t="shared" si="0"/>
        <v>az network lb inbound-nat-rule create -g rg-services-wayo-prodtemp-ne  --lb-name lbe-multi-multi-prodtemp-ne   -n inat_21007   --protocol Tcp --frontend-port 21007 --backend-port 21007</v>
      </c>
    </row>
    <row r="17" spans="1:2" x14ac:dyDescent="0.3">
      <c r="A17" s="92">
        <v>21008</v>
      </c>
      <c r="B17" s="93" t="str">
        <f t="shared" si="0"/>
        <v>az network lb inbound-nat-rule create -g rg-services-wayo-prodtemp-ne  --lb-name lbe-multi-multi-prodtemp-ne   -n inat_21008   --protocol Tcp --frontend-port 21008 --backend-port 21008</v>
      </c>
    </row>
    <row r="18" spans="1:2" x14ac:dyDescent="0.3">
      <c r="A18" s="92">
        <v>21009</v>
      </c>
      <c r="B18" s="93" t="str">
        <f t="shared" si="0"/>
        <v>az network lb inbound-nat-rule create -g rg-services-wayo-prodtemp-ne  --lb-name lbe-multi-multi-prodtemp-ne   -n inat_21009   --protocol Tcp --frontend-port 21009 --backend-port 21009</v>
      </c>
    </row>
    <row r="19" spans="1:2" x14ac:dyDescent="0.3">
      <c r="A19" s="92">
        <v>21010</v>
      </c>
      <c r="B19" s="93" t="str">
        <f t="shared" si="0"/>
        <v>az network lb inbound-nat-rule create -g rg-services-wayo-prodtemp-ne  --lb-name lbe-multi-multi-prodtemp-ne   -n inat_21010   --protocol Tcp --frontend-port 21010 --backend-port 21010</v>
      </c>
    </row>
    <row r="20" spans="1:2" x14ac:dyDescent="0.3">
      <c r="A20" s="92"/>
      <c r="B20" s="93" t="str">
        <f t="shared" si="0"/>
        <v/>
      </c>
    </row>
    <row r="21" spans="1:2" x14ac:dyDescent="0.3">
      <c r="A21" s="92"/>
      <c r="B21" s="93" t="str">
        <f t="shared" si="0"/>
        <v/>
      </c>
    </row>
    <row r="22" spans="1:2" x14ac:dyDescent="0.3">
      <c r="A22" s="92"/>
      <c r="B22" s="93" t="str">
        <f t="shared" si="0"/>
        <v/>
      </c>
    </row>
    <row r="23" spans="1:2" x14ac:dyDescent="0.3">
      <c r="A23" s="92"/>
      <c r="B23" s="93" t="str">
        <f t="shared" si="0"/>
        <v/>
      </c>
    </row>
    <row r="24" spans="1:2" x14ac:dyDescent="0.3">
      <c r="A24" s="92"/>
      <c r="B24" s="93" t="str">
        <f t="shared" si="0"/>
        <v/>
      </c>
    </row>
    <row r="25" spans="1:2" x14ac:dyDescent="0.3">
      <c r="A25" s="1"/>
      <c r="B25"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603D-1711-4792-8D3C-4067DF9C8CE9}">
  <sheetPr codeName="Sheet2"/>
  <dimension ref="J4:J7"/>
  <sheetViews>
    <sheetView showGridLines="0" topLeftCell="B1" workbookViewId="0">
      <selection activeCell="I6" sqref="I6"/>
    </sheetView>
  </sheetViews>
  <sheetFormatPr defaultColWidth="8.88671875" defaultRowHeight="14.4" x14ac:dyDescent="0.3"/>
  <sheetData>
    <row r="4" spans="10:10" x14ac:dyDescent="0.3">
      <c r="J4" t="s">
        <v>209</v>
      </c>
    </row>
    <row r="5" spans="10:10" x14ac:dyDescent="0.3">
      <c r="J5" t="s">
        <v>210</v>
      </c>
    </row>
    <row r="6" spans="10:10" x14ac:dyDescent="0.3">
      <c r="J6" t="s">
        <v>211</v>
      </c>
    </row>
    <row r="7" spans="10:10" x14ac:dyDescent="0.3">
      <c r="J7" t="s">
        <v>212</v>
      </c>
    </row>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E2C5B-B983-459D-B9A9-6A0E4C995BCF}">
  <sheetPr codeName="Sheet7">
    <tabColor theme="9" tint="-0.249977111117893"/>
  </sheetPr>
  <dimension ref="G2:G9"/>
  <sheetViews>
    <sheetView workbookViewId="0">
      <selection activeCell="I6" sqref="I6"/>
    </sheetView>
  </sheetViews>
  <sheetFormatPr defaultColWidth="8.88671875" defaultRowHeight="14.4" x14ac:dyDescent="0.3"/>
  <cols>
    <col min="7" max="7" width="16.5546875" customWidth="1"/>
  </cols>
  <sheetData>
    <row r="2" spans="7:7" x14ac:dyDescent="0.3">
      <c r="G2" t="s">
        <v>213</v>
      </c>
    </row>
    <row r="4" spans="7:7" x14ac:dyDescent="0.3">
      <c r="G4" t="s">
        <v>214</v>
      </c>
    </row>
    <row r="9" spans="7:7" x14ac:dyDescent="0.3">
      <c r="G9" t="e" cm="1">
        <f t="array" ref="G9">GetAzureVMCost("Standard_B2s", "northeurope", 730)</f>
        <v>#VALUE!</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39D9C-9F24-4C57-A9D1-5EF8F8D39132}">
  <sheetPr codeName="Sheet10">
    <tabColor rgb="FFFF0000"/>
  </sheetPr>
  <dimension ref="A2:Q99"/>
  <sheetViews>
    <sheetView showGridLines="0" topLeftCell="E4" workbookViewId="0">
      <selection activeCell="K19" sqref="K19"/>
    </sheetView>
  </sheetViews>
  <sheetFormatPr defaultColWidth="8.88671875" defaultRowHeight="12" x14ac:dyDescent="0.25"/>
  <cols>
    <col min="1" max="2" width="12.33203125" style="1" bestFit="1" customWidth="1"/>
    <col min="3" max="3" width="10.109375" style="1" bestFit="1" customWidth="1"/>
    <col min="4" max="4" width="14.6640625" style="1" bestFit="1" customWidth="1"/>
    <col min="5" max="5" width="12.33203125" style="1" bestFit="1" customWidth="1"/>
    <col min="6" max="6" width="38.6640625" style="1" bestFit="1" customWidth="1"/>
    <col min="7" max="7" width="36.33203125" style="1" bestFit="1" customWidth="1"/>
    <col min="8" max="8" width="33.6640625" style="21" bestFit="1" customWidth="1"/>
    <col min="9" max="9" width="37.44140625" style="1" bestFit="1" customWidth="1"/>
    <col min="10" max="10" width="31.109375" style="1" bestFit="1" customWidth="1"/>
    <col min="11" max="11" width="11" style="1" bestFit="1" customWidth="1"/>
    <col min="12" max="12" width="7.44140625" style="1" bestFit="1" customWidth="1"/>
    <col min="13" max="14" width="9.6640625" style="1" bestFit="1" customWidth="1"/>
    <col min="15" max="15" width="7.5546875" style="1" bestFit="1" customWidth="1"/>
    <col min="16" max="16" width="4.44140625" style="1" bestFit="1" customWidth="1"/>
    <col min="17" max="16384" width="8.88671875" style="1"/>
  </cols>
  <sheetData>
    <row r="2" spans="1:17" x14ac:dyDescent="0.25">
      <c r="K2" s="1" t="s">
        <v>141</v>
      </c>
    </row>
    <row r="3" spans="1:17" x14ac:dyDescent="0.25">
      <c r="K3" s="1" t="s">
        <v>140</v>
      </c>
    </row>
    <row r="4" spans="1:17" x14ac:dyDescent="0.25">
      <c r="K4" s="1" t="s">
        <v>139</v>
      </c>
    </row>
    <row r="5" spans="1:17" x14ac:dyDescent="0.25">
      <c r="K5" s="1" t="s">
        <v>138</v>
      </c>
    </row>
    <row r="8" spans="1:17" x14ac:dyDescent="0.25">
      <c r="A8" s="44" t="s">
        <v>118</v>
      </c>
      <c r="K8" s="46" t="s">
        <v>93</v>
      </c>
      <c r="L8" s="47" t="s">
        <v>51</v>
      </c>
      <c r="M8" s="47" t="s">
        <v>50</v>
      </c>
      <c r="N8" s="48" t="s">
        <v>94</v>
      </c>
      <c r="O8" s="49" t="s">
        <v>95</v>
      </c>
    </row>
    <row r="9" spans="1:17" x14ac:dyDescent="0.25">
      <c r="C9" s="16" t="s">
        <v>93</v>
      </c>
      <c r="D9" s="15" t="s">
        <v>51</v>
      </c>
      <c r="E9" s="15" t="s">
        <v>50</v>
      </c>
      <c r="F9" s="15" t="s">
        <v>105</v>
      </c>
      <c r="G9" s="14" t="s">
        <v>94</v>
      </c>
      <c r="H9" s="56" t="s">
        <v>95</v>
      </c>
      <c r="K9" s="50" t="s">
        <v>96</v>
      </c>
      <c r="L9" s="51" t="s">
        <v>43</v>
      </c>
      <c r="M9" s="51" t="s">
        <v>80</v>
      </c>
      <c r="N9" s="52" t="s">
        <v>97</v>
      </c>
      <c r="O9" s="53"/>
    </row>
    <row r="10" spans="1:17" x14ac:dyDescent="0.25">
      <c r="C10" s="57" t="s">
        <v>96</v>
      </c>
      <c r="D10" s="51" t="s">
        <v>43</v>
      </c>
      <c r="E10" s="51" t="s">
        <v>80</v>
      </c>
      <c r="F10" s="58" t="str">
        <f>IF(Table19[[#This Row],[Product]]="","",Table19[[#This Row],[Product]]&amp;"-"&amp;Table19[[#This Row],[Customer]]&amp;"-"&amp;Table19[[#This Row],[Environment]]&amp;"-backend")</f>
        <v>aqud-multi-prod-backend</v>
      </c>
      <c r="G10" s="52" t="s">
        <v>97</v>
      </c>
      <c r="H10" s="59"/>
    </row>
    <row r="11" spans="1:17" x14ac:dyDescent="0.25">
      <c r="C11" s="60"/>
      <c r="D11" s="61"/>
      <c r="E11" s="61"/>
      <c r="F11" s="62" t="str">
        <f>IF(Table19[[#This Row],[Product]]="","",Table19[[#This Row],[Product]]&amp;"-"&amp;Table19[[#This Row],[Customer]]&amp;"-"&amp;Table19[[#This Row],[Environment]]&amp;"-backend")</f>
        <v/>
      </c>
      <c r="G11" s="63"/>
      <c r="H11" s="64"/>
      <c r="K11" s="46" t="s">
        <v>98</v>
      </c>
      <c r="L11" s="47" t="s">
        <v>93</v>
      </c>
      <c r="M11" s="47" t="s">
        <v>51</v>
      </c>
      <c r="N11" s="47" t="s">
        <v>50</v>
      </c>
      <c r="O11" s="47" t="s">
        <v>99</v>
      </c>
      <c r="P11" s="54" t="s">
        <v>37</v>
      </c>
    </row>
    <row r="12" spans="1:17" x14ac:dyDescent="0.25">
      <c r="K12" s="50" t="s">
        <v>100</v>
      </c>
      <c r="L12" s="51" t="s">
        <v>96</v>
      </c>
      <c r="M12" s="51" t="s">
        <v>43</v>
      </c>
      <c r="N12" s="51" t="s">
        <v>80</v>
      </c>
      <c r="O12" s="51" t="s">
        <v>101</v>
      </c>
      <c r="P12" s="55">
        <v>8000</v>
      </c>
      <c r="Q12" s="1" t="str">
        <f>"https://"&amp;K12&amp;"-"&amp;L12&amp;"-"&amp;M12&amp;"-"&amp;N12&amp;".aquadvanced.com"</f>
        <v>https://identity-aqud-multi-prod.aquadvanced.com</v>
      </c>
    </row>
    <row r="13" spans="1:17" x14ac:dyDescent="0.25">
      <c r="A13" s="185" t="s">
        <v>116</v>
      </c>
      <c r="B13" s="185"/>
      <c r="K13" s="50" t="s">
        <v>102</v>
      </c>
      <c r="L13" s="51" t="s">
        <v>96</v>
      </c>
      <c r="M13" s="51" t="s">
        <v>43</v>
      </c>
      <c r="N13" s="51" t="s">
        <v>80</v>
      </c>
      <c r="O13" s="51" t="s">
        <v>101</v>
      </c>
      <c r="P13" s="55">
        <v>8001</v>
      </c>
      <c r="Q13" s="1" t="str">
        <f>"https://"&amp;K13&amp;"-"&amp;L13&amp;"-"&amp;M13&amp;"-"&amp;N13&amp;".aquadvanced.com"</f>
        <v>https://geoserver-aqud-multi-prod.aquadvanced.com</v>
      </c>
    </row>
    <row r="14" spans="1:17" x14ac:dyDescent="0.25">
      <c r="B14" s="16" t="s">
        <v>98</v>
      </c>
      <c r="C14" s="15" t="s">
        <v>93</v>
      </c>
      <c r="D14" s="15" t="s">
        <v>51</v>
      </c>
      <c r="E14" s="15" t="s">
        <v>50</v>
      </c>
      <c r="F14" s="14" t="s">
        <v>137</v>
      </c>
      <c r="G14" s="15" t="s">
        <v>99</v>
      </c>
      <c r="H14" s="56" t="s">
        <v>37</v>
      </c>
      <c r="I14" s="15" t="s">
        <v>95</v>
      </c>
      <c r="K14" s="50" t="s">
        <v>103</v>
      </c>
      <c r="L14" s="51" t="s">
        <v>96</v>
      </c>
      <c r="M14" s="51" t="s">
        <v>43</v>
      </c>
      <c r="N14" s="51" t="s">
        <v>80</v>
      </c>
      <c r="O14" s="51" t="s">
        <v>101</v>
      </c>
      <c r="P14" s="55">
        <v>5000</v>
      </c>
      <c r="Q14" s="1" t="str">
        <f>"https://"&amp;K14&amp;"-"&amp;L14&amp;"-"&amp;M14&amp;"-"&amp;N14&amp;".aquadvanced.com"</f>
        <v>https://api-datacollect-aqud-multi-prod.aquadvanced.com</v>
      </c>
    </row>
    <row r="15" spans="1:17" x14ac:dyDescent="0.25">
      <c r="A15" s="70">
        <v>1</v>
      </c>
      <c r="B15" s="57" t="s">
        <v>100</v>
      </c>
      <c r="C15" s="51" t="s">
        <v>96</v>
      </c>
      <c r="D15" s="51" t="s">
        <v>43</v>
      </c>
      <c r="E15" s="51" t="s">
        <v>80</v>
      </c>
      <c r="F15" s="65" t="str">
        <f>IF(Table210[[#This Row],[Product]]="","",IF(Table210[[#This Row],[Component]]="","",Table210[[#This Row],[Component]]&amp;"-")&amp;Table210[[#This Row],[Product]]&amp;"-"&amp;Table210[[#This Row],[Customer]]&amp;"-"&amp;Table210[[#This Row],[Environment]]&amp;"-backend-settings")</f>
        <v>identity-aqud-multi-prod-backend-settings</v>
      </c>
      <c r="G15" s="51" t="s">
        <v>101</v>
      </c>
      <c r="H15" s="55">
        <v>8000</v>
      </c>
      <c r="I15" s="79" t="s">
        <v>136</v>
      </c>
      <c r="K15" s="50"/>
      <c r="L15" s="51" t="s">
        <v>96</v>
      </c>
      <c r="M15" s="51" t="s">
        <v>104</v>
      </c>
      <c r="N15" s="51" t="s">
        <v>80</v>
      </c>
      <c r="O15" s="51" t="s">
        <v>101</v>
      </c>
      <c r="P15" s="55">
        <v>8011</v>
      </c>
      <c r="Q15" s="1" t="str">
        <f>"https://"&amp;L15&amp;"-"&amp;M15&amp;"-"&amp;N15&amp;".aquadvanced.com"</f>
        <v>https://aqud-case-prod.aquadvanced.com</v>
      </c>
    </row>
    <row r="16" spans="1:17" x14ac:dyDescent="0.25">
      <c r="A16" s="70">
        <f t="shared" ref="A16:A26" si="0">A15+1</f>
        <v>2</v>
      </c>
      <c r="B16" s="57" t="s">
        <v>102</v>
      </c>
      <c r="C16" s="51" t="s">
        <v>96</v>
      </c>
      <c r="D16" s="51" t="s">
        <v>43</v>
      </c>
      <c r="E16" s="51" t="s">
        <v>80</v>
      </c>
      <c r="F16" s="65" t="str">
        <f>IF(Table210[[#This Row],[Product]]="","",IF(Table210[[#This Row],[Component]]="","",Table210[[#This Row],[Component]]&amp;"-")&amp;Table210[[#This Row],[Product]]&amp;"-"&amp;Table210[[#This Row],[Customer]]&amp;"-"&amp;Table210[[#This Row],[Environment]]&amp;"-backend-settings")</f>
        <v>geoserver-aqud-multi-prod-backend-settings</v>
      </c>
      <c r="G16" s="51" t="s">
        <v>101</v>
      </c>
      <c r="H16" s="55">
        <v>8001</v>
      </c>
      <c r="I16" s="79" t="s">
        <v>136</v>
      </c>
    </row>
    <row r="17" spans="1:9" x14ac:dyDescent="0.25">
      <c r="A17" s="70">
        <f t="shared" si="0"/>
        <v>3</v>
      </c>
      <c r="B17" s="57" t="s">
        <v>103</v>
      </c>
      <c r="C17" s="51" t="s">
        <v>96</v>
      </c>
      <c r="D17" s="51" t="s">
        <v>43</v>
      </c>
      <c r="E17" s="51" t="s">
        <v>80</v>
      </c>
      <c r="F17" s="65" t="str">
        <f>IF(Table210[[#This Row],[Product]]="","",IF(Table210[[#This Row],[Component]]="","",Table210[[#This Row],[Component]]&amp;"-")&amp;Table210[[#This Row],[Product]]&amp;"-"&amp;Table210[[#This Row],[Customer]]&amp;"-"&amp;Table210[[#This Row],[Environment]]&amp;"-backend-settings")</f>
        <v>api-datacollect-aqud-multi-prod-backend-settings</v>
      </c>
      <c r="G17" s="51" t="s">
        <v>101</v>
      </c>
      <c r="H17" s="55">
        <v>5000</v>
      </c>
      <c r="I17" s="79" t="s">
        <v>136</v>
      </c>
    </row>
    <row r="18" spans="1:9" x14ac:dyDescent="0.25">
      <c r="A18" s="70">
        <f t="shared" si="0"/>
        <v>4</v>
      </c>
      <c r="B18" s="57"/>
      <c r="C18" s="51" t="s">
        <v>96</v>
      </c>
      <c r="D18" s="51" t="s">
        <v>104</v>
      </c>
      <c r="E18" s="51" t="s">
        <v>80</v>
      </c>
      <c r="F18" s="65" t="str">
        <f>IF(Table210[[#This Row],[Product]]="","",IF(Table210[[#This Row],[Component]]="","",Table210[[#This Row],[Component]]&amp;"-")&amp;Table210[[#This Row],[Product]]&amp;"-"&amp;Table210[[#This Row],[Customer]]&amp;"-"&amp;Table210[[#This Row],[Environment]]&amp;"-backend-settings")</f>
        <v>aqud-case-prod-backend-settings</v>
      </c>
      <c r="G18" s="51" t="s">
        <v>101</v>
      </c>
      <c r="H18" s="55">
        <v>8011</v>
      </c>
      <c r="I18" s="79" t="s">
        <v>135</v>
      </c>
    </row>
    <row r="19" spans="1:9" x14ac:dyDescent="0.25">
      <c r="A19" s="70">
        <f t="shared" si="0"/>
        <v>5</v>
      </c>
      <c r="B19" s="57"/>
      <c r="C19" s="51"/>
      <c r="D19" s="51"/>
      <c r="E19" s="51"/>
      <c r="F19" s="65" t="str">
        <f>IF(Table210[[#This Row],[Product]]="","",IF(Table210[[#This Row],[Component]]="","",Table210[[#This Row],[Component]]&amp;"-")&amp;Table210[[#This Row],[Product]]&amp;"-"&amp;Table210[[#This Row],[Customer]]&amp;"-"&amp;Table210[[#This Row],[Environment]]&amp;"-backend-settings")</f>
        <v/>
      </c>
      <c r="G19" s="82" t="s">
        <v>101</v>
      </c>
      <c r="H19" s="81">
        <v>8012</v>
      </c>
      <c r="I19" s="80"/>
    </row>
    <row r="20" spans="1:9" x14ac:dyDescent="0.25">
      <c r="A20" s="70">
        <f t="shared" si="0"/>
        <v>6</v>
      </c>
      <c r="B20" s="57"/>
      <c r="C20" s="51"/>
      <c r="D20" s="51"/>
      <c r="E20" s="51"/>
      <c r="F20" s="65" t="str">
        <f>IF(Table210[[#This Row],[Product]]="","",IF(Table210[[#This Row],[Component]]="","",Table210[[#This Row],[Component]]&amp;"-")&amp;Table210[[#This Row],[Product]]&amp;"-"&amp;Table210[[#This Row],[Customer]]&amp;"-"&amp;Table210[[#This Row],[Environment]]&amp;"-backend-settings")</f>
        <v/>
      </c>
      <c r="G20" s="51" t="s">
        <v>101</v>
      </c>
      <c r="H20" s="55">
        <v>8013</v>
      </c>
      <c r="I20" s="79"/>
    </row>
    <row r="21" spans="1:9" x14ac:dyDescent="0.25">
      <c r="A21" s="70">
        <f t="shared" si="0"/>
        <v>7</v>
      </c>
      <c r="B21" s="57"/>
      <c r="C21" s="51"/>
      <c r="D21" s="51"/>
      <c r="E21" s="51"/>
      <c r="F21" s="65" t="str">
        <f>IF(Table210[[#This Row],[Product]]="","",IF(Table210[[#This Row],[Component]]="","",Table210[[#This Row],[Component]]&amp;"-")&amp;Table210[[#This Row],[Product]]&amp;"-"&amp;Table210[[#This Row],[Customer]]&amp;"-"&amp;Table210[[#This Row],[Environment]]&amp;"-backend-settings")</f>
        <v/>
      </c>
      <c r="G21" s="51" t="s">
        <v>101</v>
      </c>
      <c r="H21" s="55">
        <v>8014</v>
      </c>
      <c r="I21" s="79"/>
    </row>
    <row r="22" spans="1:9" x14ac:dyDescent="0.25">
      <c r="A22" s="70">
        <f t="shared" si="0"/>
        <v>8</v>
      </c>
      <c r="B22" s="57"/>
      <c r="C22" s="51"/>
      <c r="D22" s="51"/>
      <c r="E22" s="51"/>
      <c r="F22" s="65" t="str">
        <f>IF(Table210[[#This Row],[Product]]="","",IF(Table210[[#This Row],[Component]]="","",Table210[[#This Row],[Component]]&amp;"-")&amp;Table210[[#This Row],[Product]]&amp;"-"&amp;Table210[[#This Row],[Customer]]&amp;"-"&amp;Table210[[#This Row],[Environment]]&amp;"-backend-settings")</f>
        <v/>
      </c>
      <c r="G22" s="51" t="s">
        <v>101</v>
      </c>
      <c r="H22" s="55">
        <v>8015</v>
      </c>
      <c r="I22" s="79"/>
    </row>
    <row r="23" spans="1:9" x14ac:dyDescent="0.25">
      <c r="A23" s="70">
        <f t="shared" si="0"/>
        <v>9</v>
      </c>
      <c r="B23" s="57"/>
      <c r="C23" s="51"/>
      <c r="D23" s="51"/>
      <c r="E23" s="51"/>
      <c r="F23" s="65" t="str">
        <f>IF(Table210[[#This Row],[Product]]="","",IF(Table210[[#This Row],[Component]]="","",Table210[[#This Row],[Component]]&amp;"-")&amp;Table210[[#This Row],[Product]]&amp;"-"&amp;Table210[[#This Row],[Customer]]&amp;"-"&amp;Table210[[#This Row],[Environment]]&amp;"-backend-settings")</f>
        <v/>
      </c>
      <c r="G23" s="51"/>
      <c r="H23" s="55"/>
      <c r="I23" s="79"/>
    </row>
    <row r="24" spans="1:9" x14ac:dyDescent="0.25">
      <c r="A24" s="70">
        <f t="shared" si="0"/>
        <v>10</v>
      </c>
      <c r="B24" s="57"/>
      <c r="C24" s="51"/>
      <c r="D24" s="51"/>
      <c r="E24" s="51"/>
      <c r="F24" s="65" t="str">
        <f>IF(Table210[[#This Row],[Product]]="","",IF(Table210[[#This Row],[Component]]="","",Table210[[#This Row],[Component]]&amp;"-")&amp;Table210[[#This Row],[Product]]&amp;"-"&amp;Table210[[#This Row],[Customer]]&amp;"-"&amp;Table210[[#This Row],[Environment]]&amp;"-backend-settings")</f>
        <v/>
      </c>
      <c r="G24" s="51"/>
      <c r="H24" s="55"/>
      <c r="I24" s="79"/>
    </row>
    <row r="25" spans="1:9" x14ac:dyDescent="0.25">
      <c r="A25" s="70">
        <f t="shared" si="0"/>
        <v>11</v>
      </c>
      <c r="B25" s="57"/>
      <c r="C25" s="51"/>
      <c r="D25" s="51"/>
      <c r="E25" s="51"/>
      <c r="F25" s="65" t="str">
        <f>IF(Table210[[#This Row],[Product]]="","",IF(Table210[[#This Row],[Component]]="","",Table210[[#This Row],[Component]]&amp;"-")&amp;Table210[[#This Row],[Product]]&amp;"-"&amp;Table210[[#This Row],[Customer]]&amp;"-"&amp;Table210[[#This Row],[Environment]]&amp;"-backend-settings")</f>
        <v/>
      </c>
      <c r="G25" s="51"/>
      <c r="H25" s="55"/>
      <c r="I25" s="79"/>
    </row>
    <row r="26" spans="1:9" x14ac:dyDescent="0.25">
      <c r="A26" s="70">
        <f t="shared" si="0"/>
        <v>12</v>
      </c>
      <c r="B26" s="60"/>
      <c r="C26" s="61"/>
      <c r="D26" s="61"/>
      <c r="E26" s="61"/>
      <c r="F26" s="68" t="str">
        <f>IF(Table210[[#This Row],[Product]]="","",IF(Table210[[#This Row],[Component]]="","",Table210[[#This Row],[Component]]&amp;"-")&amp;Table210[[#This Row],[Product]]&amp;"-"&amp;Table210[[#This Row],[Customer]]&amp;"-"&amp;Table210[[#This Row],[Environment]]&amp;"-backend-settings")</f>
        <v/>
      </c>
      <c r="G26" s="61" t="s">
        <v>134</v>
      </c>
      <c r="H26" s="78"/>
      <c r="I26" s="77"/>
    </row>
    <row r="28" spans="1:9" x14ac:dyDescent="0.25">
      <c r="A28" s="44" t="s">
        <v>133</v>
      </c>
    </row>
    <row r="29" spans="1:9" x14ac:dyDescent="0.25">
      <c r="A29" s="4" t="s">
        <v>125</v>
      </c>
      <c r="B29" s="58" t="s">
        <v>124</v>
      </c>
      <c r="C29" s="4" t="s">
        <v>132</v>
      </c>
      <c r="D29" s="71" t="s">
        <v>131</v>
      </c>
    </row>
    <row r="30" spans="1:9" x14ac:dyDescent="0.25">
      <c r="A30" s="4" t="s">
        <v>99</v>
      </c>
      <c r="B30" s="71" t="s">
        <v>130</v>
      </c>
      <c r="C30" s="4" t="s">
        <v>129</v>
      </c>
      <c r="D30" s="71" t="s">
        <v>128</v>
      </c>
      <c r="H30" s="1"/>
    </row>
    <row r="31" spans="1:9" x14ac:dyDescent="0.25">
      <c r="A31" s="76" t="s">
        <v>37</v>
      </c>
      <c r="B31" s="71">
        <v>443</v>
      </c>
      <c r="C31" s="74" t="s">
        <v>123</v>
      </c>
      <c r="D31" s="58" t="s">
        <v>122</v>
      </c>
      <c r="H31" s="1"/>
    </row>
    <row r="32" spans="1:9" x14ac:dyDescent="0.25">
      <c r="B32" s="44"/>
    </row>
    <row r="33" spans="1:8" x14ac:dyDescent="0.25">
      <c r="B33" s="16" t="s">
        <v>98</v>
      </c>
      <c r="C33" s="15" t="s">
        <v>93</v>
      </c>
      <c r="D33" s="15" t="s">
        <v>51</v>
      </c>
      <c r="E33" s="15" t="s">
        <v>50</v>
      </c>
      <c r="F33" s="14" t="s">
        <v>127</v>
      </c>
      <c r="G33" s="15" t="s">
        <v>120</v>
      </c>
      <c r="H33" s="1"/>
    </row>
    <row r="34" spans="1:8" x14ac:dyDescent="0.25">
      <c r="A34" s="70">
        <v>1</v>
      </c>
      <c r="B34" s="65" t="str">
        <f t="shared" ref="B34:E45" si="1">IF(B15="","",B15)</f>
        <v>identity</v>
      </c>
      <c r="C34" s="65" t="str">
        <f t="shared" si="1"/>
        <v>aqud</v>
      </c>
      <c r="D34" s="65" t="str">
        <f t="shared" si="1"/>
        <v>multi</v>
      </c>
      <c r="E34" s="65" t="str">
        <f t="shared" si="1"/>
        <v>prod</v>
      </c>
      <c r="F34" s="65" t="str">
        <f>IF(Table311[[#This Row],[Product]]="","",IF(Table311[[#This Row],[Component]]="","",Table311[[#This Row],[Component]]&amp;"-")&amp;Table311[[#This Row],[Product]]&amp;"-"&amp;Table311[[#This Row],[Customer]]&amp;"-"&amp;Table311[[#This Row],[Environment]]&amp;"-https-listener")</f>
        <v>identity-aqud-multi-prod-https-listener</v>
      </c>
      <c r="G34" s="65" t="str">
        <f>IF(Table311[[#This Row],[Product]]="","",IF(Table311[[#This Row],[Component]]="","",Table311[[#This Row],[Component]]&amp;"-")&amp;Table311[[#This Row],[Product]]&amp;"-"&amp;Table311[[#This Row],[Customer]]&amp;IF(Table311[[#This Row],[Environment]]="prod","","-"&amp;Table311[[#This Row],[Environment]])&amp;"."&amp;$D$30)</f>
        <v>identity-aqud-multi.aquadvanced.com</v>
      </c>
      <c r="H34" s="1"/>
    </row>
    <row r="35" spans="1:8" x14ac:dyDescent="0.25">
      <c r="A35" s="70">
        <f t="shared" ref="A35:A45" si="2">A34+1</f>
        <v>2</v>
      </c>
      <c r="B35" s="65" t="str">
        <f t="shared" si="1"/>
        <v>geoserver</v>
      </c>
      <c r="C35" s="65" t="str">
        <f t="shared" si="1"/>
        <v>aqud</v>
      </c>
      <c r="D35" s="65" t="str">
        <f t="shared" si="1"/>
        <v>multi</v>
      </c>
      <c r="E35" s="65" t="str">
        <f t="shared" si="1"/>
        <v>prod</v>
      </c>
      <c r="F35" s="65" t="str">
        <f>IF(Table311[[#This Row],[Product]]="","",IF(Table311[[#This Row],[Component]]="","",Table311[[#This Row],[Component]]&amp;"-")&amp;Table311[[#This Row],[Product]]&amp;"-"&amp;Table311[[#This Row],[Customer]]&amp;"-"&amp;Table311[[#This Row],[Environment]]&amp;"-https-listener")</f>
        <v>geoserver-aqud-multi-prod-https-listener</v>
      </c>
      <c r="G35" s="65" t="str">
        <f>IF(Table311[[#This Row],[Product]]="","",IF(Table311[[#This Row],[Component]]="","",Table311[[#This Row],[Component]]&amp;"-")&amp;Table311[[#This Row],[Product]]&amp;"-"&amp;Table311[[#This Row],[Customer]]&amp;IF(Table311[[#This Row],[Environment]]="prod","","-"&amp;Table311[[#This Row],[Environment]])&amp;"."&amp;$D$30)</f>
        <v>geoserver-aqud-multi.aquadvanced.com</v>
      </c>
      <c r="H35" s="1"/>
    </row>
    <row r="36" spans="1:8" x14ac:dyDescent="0.25">
      <c r="A36" s="70">
        <f t="shared" si="2"/>
        <v>3</v>
      </c>
      <c r="B36" s="65" t="str">
        <f t="shared" si="1"/>
        <v>api-datacollect</v>
      </c>
      <c r="C36" s="65" t="str">
        <f t="shared" si="1"/>
        <v>aqud</v>
      </c>
      <c r="D36" s="65" t="str">
        <f t="shared" si="1"/>
        <v>multi</v>
      </c>
      <c r="E36" s="65" t="str">
        <f t="shared" si="1"/>
        <v>prod</v>
      </c>
      <c r="F36" s="65" t="str">
        <f>IF(Table311[[#This Row],[Product]]="","",IF(Table311[[#This Row],[Component]]="","",Table311[[#This Row],[Component]]&amp;"-")&amp;Table311[[#This Row],[Product]]&amp;"-"&amp;Table311[[#This Row],[Customer]]&amp;"-"&amp;Table311[[#This Row],[Environment]]&amp;"-https-listener")</f>
        <v>api-datacollect-aqud-multi-prod-https-listener</v>
      </c>
      <c r="G36" s="65" t="str">
        <f>IF(Table311[[#This Row],[Product]]="","",IF(Table311[[#This Row],[Component]]="","",Table311[[#This Row],[Component]]&amp;"-")&amp;Table311[[#This Row],[Product]]&amp;"-"&amp;Table311[[#This Row],[Customer]]&amp;IF(Table311[[#This Row],[Environment]]="prod","","-"&amp;Table311[[#This Row],[Environment]])&amp;"."&amp;$D$30)</f>
        <v>api-datacollect-aqud-multi.aquadvanced.com</v>
      </c>
      <c r="H36" s="1"/>
    </row>
    <row r="37" spans="1:8" x14ac:dyDescent="0.25">
      <c r="A37" s="70">
        <f t="shared" si="2"/>
        <v>4</v>
      </c>
      <c r="B37" s="65" t="str">
        <f t="shared" si="1"/>
        <v/>
      </c>
      <c r="C37" s="65" t="str">
        <f t="shared" si="1"/>
        <v>aqud</v>
      </c>
      <c r="D37" s="65" t="str">
        <f t="shared" si="1"/>
        <v>case</v>
      </c>
      <c r="E37" s="65" t="str">
        <f t="shared" si="1"/>
        <v>prod</v>
      </c>
      <c r="F37" s="65" t="str">
        <f>IF(Table311[[#This Row],[Product]]="","",IF(Table311[[#This Row],[Component]]="","",Table311[[#This Row],[Component]]&amp;"-")&amp;Table311[[#This Row],[Product]]&amp;"-"&amp;Table311[[#This Row],[Customer]]&amp;"-"&amp;Table311[[#This Row],[Environment]]&amp;"-https-listener")</f>
        <v>aqud-case-prod-https-listener</v>
      </c>
      <c r="G37" s="65" t="str">
        <f>IF(Table311[[#This Row],[Product]]="","",IF(Table311[[#This Row],[Component]]="","",Table311[[#This Row],[Component]]&amp;"-")&amp;Table311[[#This Row],[Product]]&amp;"-"&amp;Table311[[#This Row],[Customer]]&amp;IF(Table311[[#This Row],[Environment]]="prod","","-"&amp;Table311[[#This Row],[Environment]])&amp;"."&amp;$D$30)</f>
        <v>aqud-case.aquadvanced.com</v>
      </c>
      <c r="H37" s="1"/>
    </row>
    <row r="38" spans="1:8" x14ac:dyDescent="0.25">
      <c r="A38" s="70">
        <f t="shared" si="2"/>
        <v>5</v>
      </c>
      <c r="B38" s="65" t="str">
        <f t="shared" si="1"/>
        <v/>
      </c>
      <c r="C38" s="65" t="str">
        <f t="shared" si="1"/>
        <v/>
      </c>
      <c r="D38" s="65" t="str">
        <f t="shared" si="1"/>
        <v/>
      </c>
      <c r="E38" s="65" t="str">
        <f t="shared" si="1"/>
        <v/>
      </c>
      <c r="F38" s="65" t="str">
        <f>IF(Table311[[#This Row],[Product]]="","",IF(Table311[[#This Row],[Component]]="","",Table311[[#This Row],[Component]]&amp;"-")&amp;Table311[[#This Row],[Product]]&amp;"-"&amp;Table311[[#This Row],[Customer]]&amp;"-"&amp;Table311[[#This Row],[Environment]]&amp;"-https-listener")</f>
        <v/>
      </c>
      <c r="G38" s="65" t="str">
        <f>IF(Table311[[#This Row],[Product]]="","",IF(Table311[[#This Row],[Component]]="","",Table311[[#This Row],[Component]]&amp;"-")&amp;Table311[[#This Row],[Product]]&amp;"-"&amp;Table311[[#This Row],[Customer]]&amp;IF(Table311[[#This Row],[Environment]]="prod","","-"&amp;Table311[[#This Row],[Environment]])&amp;"."&amp;$D$30)</f>
        <v/>
      </c>
      <c r="H38" s="1"/>
    </row>
    <row r="39" spans="1:8" x14ac:dyDescent="0.25">
      <c r="A39" s="70">
        <f t="shared" si="2"/>
        <v>6</v>
      </c>
      <c r="B39" s="65" t="str">
        <f t="shared" si="1"/>
        <v/>
      </c>
      <c r="C39" s="65" t="str">
        <f t="shared" si="1"/>
        <v/>
      </c>
      <c r="D39" s="65" t="str">
        <f t="shared" si="1"/>
        <v/>
      </c>
      <c r="E39" s="65" t="str">
        <f t="shared" si="1"/>
        <v/>
      </c>
      <c r="F39" s="65" t="str">
        <f>IF(Table311[[#This Row],[Product]]="","",IF(Table311[[#This Row],[Component]]="","",Table311[[#This Row],[Component]]&amp;"-")&amp;Table311[[#This Row],[Product]]&amp;"-"&amp;Table311[[#This Row],[Customer]]&amp;"-"&amp;Table311[[#This Row],[Environment]]&amp;"-https-listener")</f>
        <v/>
      </c>
      <c r="G39" s="65" t="str">
        <f>IF(Table311[[#This Row],[Product]]="","",IF(Table311[[#This Row],[Component]]="","",Table311[[#This Row],[Component]]&amp;"-")&amp;Table311[[#This Row],[Product]]&amp;"-"&amp;Table311[[#This Row],[Customer]]&amp;IF(Table311[[#This Row],[Environment]]="prod","","-"&amp;Table311[[#This Row],[Environment]])&amp;"."&amp;$D$30)</f>
        <v/>
      </c>
      <c r="H39" s="1"/>
    </row>
    <row r="40" spans="1:8" x14ac:dyDescent="0.25">
      <c r="A40" s="70">
        <f t="shared" si="2"/>
        <v>7</v>
      </c>
      <c r="B40" s="65" t="str">
        <f t="shared" si="1"/>
        <v/>
      </c>
      <c r="C40" s="65" t="str">
        <f t="shared" si="1"/>
        <v/>
      </c>
      <c r="D40" s="65" t="str">
        <f t="shared" si="1"/>
        <v/>
      </c>
      <c r="E40" s="65" t="str">
        <f t="shared" si="1"/>
        <v/>
      </c>
      <c r="F40" s="65" t="str">
        <f>IF(Table311[[#This Row],[Product]]="","",IF(Table311[[#This Row],[Component]]="","",Table311[[#This Row],[Component]]&amp;"-")&amp;Table311[[#This Row],[Product]]&amp;"-"&amp;Table311[[#This Row],[Customer]]&amp;"-"&amp;Table311[[#This Row],[Environment]]&amp;"-https-listener")</f>
        <v/>
      </c>
      <c r="G40" s="65" t="str">
        <f>IF(Table311[[#This Row],[Product]]="","",IF(Table311[[#This Row],[Component]]="","",Table311[[#This Row],[Component]]&amp;"-")&amp;Table311[[#This Row],[Product]]&amp;"-"&amp;Table311[[#This Row],[Customer]]&amp;IF(Table311[[#This Row],[Environment]]="prod","","-"&amp;Table311[[#This Row],[Environment]])&amp;"."&amp;$D$30)</f>
        <v/>
      </c>
      <c r="H40" s="1"/>
    </row>
    <row r="41" spans="1:8" x14ac:dyDescent="0.25">
      <c r="A41" s="70">
        <f t="shared" si="2"/>
        <v>8</v>
      </c>
      <c r="B41" s="65" t="str">
        <f t="shared" si="1"/>
        <v/>
      </c>
      <c r="C41" s="65" t="str">
        <f t="shared" si="1"/>
        <v/>
      </c>
      <c r="D41" s="65" t="str">
        <f t="shared" si="1"/>
        <v/>
      </c>
      <c r="E41" s="65" t="str">
        <f t="shared" si="1"/>
        <v/>
      </c>
      <c r="F41" s="65" t="str">
        <f>IF(Table311[[#This Row],[Product]]="","",IF(Table311[[#This Row],[Component]]="","",Table311[[#This Row],[Component]]&amp;"-")&amp;Table311[[#This Row],[Product]]&amp;"-"&amp;Table311[[#This Row],[Customer]]&amp;"-"&amp;Table311[[#This Row],[Environment]]&amp;"-https-listener")</f>
        <v/>
      </c>
      <c r="G41" s="65" t="str">
        <f>IF(Table311[[#This Row],[Product]]="","",IF(Table311[[#This Row],[Component]]="","",Table311[[#This Row],[Component]]&amp;"-")&amp;Table311[[#This Row],[Product]]&amp;"-"&amp;Table311[[#This Row],[Customer]]&amp;IF(Table311[[#This Row],[Environment]]="prod","","-"&amp;Table311[[#This Row],[Environment]])&amp;"."&amp;$D$30)</f>
        <v/>
      </c>
      <c r="H41" s="1"/>
    </row>
    <row r="42" spans="1:8" x14ac:dyDescent="0.25">
      <c r="A42" s="70">
        <f t="shared" si="2"/>
        <v>9</v>
      </c>
      <c r="B42" s="65" t="str">
        <f t="shared" si="1"/>
        <v/>
      </c>
      <c r="C42" s="65" t="str">
        <f t="shared" si="1"/>
        <v/>
      </c>
      <c r="D42" s="65" t="str">
        <f t="shared" si="1"/>
        <v/>
      </c>
      <c r="E42" s="65" t="str">
        <f t="shared" si="1"/>
        <v/>
      </c>
      <c r="F42" s="65" t="str">
        <f>IF(Table311[[#This Row],[Product]]="","",IF(Table311[[#This Row],[Component]]="","",Table311[[#This Row],[Component]]&amp;"-")&amp;Table311[[#This Row],[Product]]&amp;"-"&amp;Table311[[#This Row],[Customer]]&amp;"-"&amp;Table311[[#This Row],[Environment]]&amp;"-https-listener")</f>
        <v/>
      </c>
      <c r="G42" s="65" t="str">
        <f>IF(Table311[[#This Row],[Product]]="","",IF(Table311[[#This Row],[Component]]="","",Table311[[#This Row],[Component]]&amp;"-")&amp;Table311[[#This Row],[Product]]&amp;"-"&amp;Table311[[#This Row],[Customer]]&amp;IF(Table311[[#This Row],[Environment]]="prod","","-"&amp;Table311[[#This Row],[Environment]])&amp;"."&amp;$D$30)</f>
        <v/>
      </c>
      <c r="H42" s="1"/>
    </row>
    <row r="43" spans="1:8" x14ac:dyDescent="0.25">
      <c r="A43" s="70">
        <f t="shared" si="2"/>
        <v>10</v>
      </c>
      <c r="B43" s="65" t="str">
        <f t="shared" si="1"/>
        <v/>
      </c>
      <c r="C43" s="65" t="str">
        <f t="shared" si="1"/>
        <v/>
      </c>
      <c r="D43" s="65" t="str">
        <f t="shared" si="1"/>
        <v/>
      </c>
      <c r="E43" s="65" t="str">
        <f t="shared" si="1"/>
        <v/>
      </c>
      <c r="F43" s="65" t="str">
        <f>IF(Table311[[#This Row],[Product]]="","",IF(Table311[[#This Row],[Component]]="","",Table311[[#This Row],[Component]]&amp;"-")&amp;Table311[[#This Row],[Product]]&amp;"-"&amp;Table311[[#This Row],[Customer]]&amp;"-"&amp;Table311[[#This Row],[Environment]]&amp;"-https-listener")</f>
        <v/>
      </c>
      <c r="G43" s="65" t="str">
        <f>IF(Table311[[#This Row],[Product]]="","",IF(Table311[[#This Row],[Component]]="","",Table311[[#This Row],[Component]]&amp;"-")&amp;Table311[[#This Row],[Product]]&amp;"-"&amp;Table311[[#This Row],[Customer]]&amp;IF(Table311[[#This Row],[Environment]]="prod","","-"&amp;Table311[[#This Row],[Environment]])&amp;"."&amp;$D$30)</f>
        <v/>
      </c>
      <c r="H43" s="1"/>
    </row>
    <row r="44" spans="1:8" x14ac:dyDescent="0.25">
      <c r="A44" s="70">
        <f t="shared" si="2"/>
        <v>11</v>
      </c>
      <c r="B44" s="65" t="str">
        <f t="shared" si="1"/>
        <v/>
      </c>
      <c r="C44" s="65" t="str">
        <f t="shared" si="1"/>
        <v/>
      </c>
      <c r="D44" s="65" t="str">
        <f t="shared" si="1"/>
        <v/>
      </c>
      <c r="E44" s="65" t="str">
        <f t="shared" si="1"/>
        <v/>
      </c>
      <c r="F44" s="65" t="str">
        <f>IF(Table311[[#This Row],[Product]]="","",IF(Table311[[#This Row],[Component]]="","",Table311[[#This Row],[Component]]&amp;"-")&amp;Table311[[#This Row],[Product]]&amp;"-"&amp;Table311[[#This Row],[Customer]]&amp;"-"&amp;Table311[[#This Row],[Environment]]&amp;"-https-listener")</f>
        <v/>
      </c>
      <c r="G44" s="65" t="str">
        <f>IF(Table311[[#This Row],[Product]]="","",IF(Table311[[#This Row],[Component]]="","",Table311[[#This Row],[Component]]&amp;"-")&amp;Table311[[#This Row],[Product]]&amp;"-"&amp;Table311[[#This Row],[Customer]]&amp;IF(Table311[[#This Row],[Environment]]="prod","","-"&amp;Table311[[#This Row],[Environment]])&amp;"."&amp;$D$30)</f>
        <v/>
      </c>
      <c r="H44" s="1"/>
    </row>
    <row r="45" spans="1:8" x14ac:dyDescent="0.25">
      <c r="A45" s="70">
        <f t="shared" si="2"/>
        <v>12</v>
      </c>
      <c r="B45" s="65" t="str">
        <f t="shared" si="1"/>
        <v/>
      </c>
      <c r="C45" s="65" t="str">
        <f t="shared" si="1"/>
        <v/>
      </c>
      <c r="D45" s="65" t="str">
        <f t="shared" si="1"/>
        <v/>
      </c>
      <c r="E45" s="65" t="str">
        <f t="shared" si="1"/>
        <v/>
      </c>
      <c r="F45" s="68" t="str">
        <f>IF(Table311[[#This Row],[Product]]="","",IF(Table311[[#This Row],[Component]]="","",Table311[[#This Row],[Component]]&amp;"-")&amp;Table311[[#This Row],[Product]]&amp;"-"&amp;Table311[[#This Row],[Customer]]&amp;"-"&amp;Table311[[#This Row],[Environment]]&amp;"-https-listener")</f>
        <v/>
      </c>
      <c r="G45" s="65" t="str">
        <f>IF(Table311[[#This Row],[Product]]="","",IF(Table311[[#This Row],[Component]]="","",Table311[[#This Row],[Component]]&amp;"-")&amp;Table311[[#This Row],[Product]]&amp;"-"&amp;Table311[[#This Row],[Customer]]&amp;IF(Table311[[#This Row],[Environment]]="prod","","-"&amp;Table311[[#This Row],[Environment]])&amp;"."&amp;$D$30)</f>
        <v/>
      </c>
      <c r="H45" s="1"/>
    </row>
    <row r="47" spans="1:8" x14ac:dyDescent="0.25">
      <c r="A47" s="44" t="s">
        <v>126</v>
      </c>
    </row>
    <row r="48" spans="1:8" x14ac:dyDescent="0.25">
      <c r="A48" s="4" t="s">
        <v>125</v>
      </c>
      <c r="B48" s="58" t="s">
        <v>124</v>
      </c>
      <c r="C48" s="74" t="s">
        <v>123</v>
      </c>
      <c r="D48" s="58" t="s">
        <v>122</v>
      </c>
    </row>
    <row r="49" spans="1:8" x14ac:dyDescent="0.25">
      <c r="A49" s="4" t="s">
        <v>99</v>
      </c>
      <c r="B49" s="58" t="s">
        <v>101</v>
      </c>
    </row>
    <row r="50" spans="1:8" x14ac:dyDescent="0.25">
      <c r="A50" s="76" t="s">
        <v>37</v>
      </c>
      <c r="B50" s="75">
        <v>80</v>
      </c>
    </row>
    <row r="52" spans="1:8" x14ac:dyDescent="0.25">
      <c r="B52" s="16" t="s">
        <v>98</v>
      </c>
      <c r="C52" s="15" t="s">
        <v>93</v>
      </c>
      <c r="D52" s="15" t="s">
        <v>51</v>
      </c>
      <c r="E52" s="15" t="s">
        <v>50</v>
      </c>
      <c r="F52" s="15" t="s">
        <v>121</v>
      </c>
      <c r="G52" s="15" t="s">
        <v>120</v>
      </c>
      <c r="H52" s="1"/>
    </row>
    <row r="53" spans="1:8" x14ac:dyDescent="0.25">
      <c r="A53" s="70">
        <v>1</v>
      </c>
      <c r="B53" s="65" t="str">
        <f t="shared" ref="B53:E64" si="3">IF(B15="","",B15)</f>
        <v>identity</v>
      </c>
      <c r="C53" s="65" t="str">
        <f t="shared" si="3"/>
        <v>aqud</v>
      </c>
      <c r="D53" s="65" t="str">
        <f t="shared" si="3"/>
        <v>multi</v>
      </c>
      <c r="E53" s="65" t="str">
        <f t="shared" si="3"/>
        <v>prod</v>
      </c>
      <c r="F53" s="65" t="str">
        <f>IF(Table31114[[#This Row],[Product]]="","",IF(Table31114[[#This Row],[Component]]="","",Table31114[[#This Row],[Component]]&amp;"-")&amp;Table31114[[#This Row],[Product]]&amp;"-"&amp;Table31114[[#This Row],[Customer]]&amp;"-"&amp;Table31114[[#This Row],[Environment]]&amp;"-http-listener")</f>
        <v>identity-aqud-multi-prod-http-listener</v>
      </c>
      <c r="G53" s="65" t="str">
        <f>IF(Table31114[[#This Row],[Product]]="","",IF(Table31114[[#This Row],[Component]]="","",Table31114[[#This Row],[Component]]&amp;"-")&amp;Table31114[[#This Row],[Product]]&amp;"-"&amp;Table31114[[#This Row],[Customer]]&amp;IF(Table31114[[#This Row],[Environment]]="prod","","-"&amp;Table31114[[#This Row],[Environment]])&amp;"."&amp;$D$30)</f>
        <v>identity-aqud-multi.aquadvanced.com</v>
      </c>
      <c r="H53" s="1"/>
    </row>
    <row r="54" spans="1:8" x14ac:dyDescent="0.25">
      <c r="A54" s="70">
        <f t="shared" ref="A54:A64" si="4">A53+1</f>
        <v>2</v>
      </c>
      <c r="B54" s="65" t="str">
        <f t="shared" si="3"/>
        <v>geoserver</v>
      </c>
      <c r="C54" s="65" t="str">
        <f t="shared" si="3"/>
        <v>aqud</v>
      </c>
      <c r="D54" s="65" t="str">
        <f t="shared" si="3"/>
        <v>multi</v>
      </c>
      <c r="E54" s="65" t="str">
        <f t="shared" si="3"/>
        <v>prod</v>
      </c>
      <c r="F54" s="65" t="str">
        <f>IF(Table31114[[#This Row],[Product]]="","",IF(Table31114[[#This Row],[Component]]="","",Table31114[[#This Row],[Component]]&amp;"-")&amp;Table31114[[#This Row],[Product]]&amp;"-"&amp;Table31114[[#This Row],[Customer]]&amp;"-"&amp;Table31114[[#This Row],[Environment]]&amp;"-http-listener")</f>
        <v>geoserver-aqud-multi-prod-http-listener</v>
      </c>
      <c r="G54" s="65" t="str">
        <f>IF(Table31114[[#This Row],[Product]]="","",IF(Table31114[[#This Row],[Component]]="","",Table31114[[#This Row],[Component]]&amp;"-")&amp;Table31114[[#This Row],[Product]]&amp;"-"&amp;Table31114[[#This Row],[Customer]]&amp;IF(Table31114[[#This Row],[Environment]]="prod","","-"&amp;Table31114[[#This Row],[Environment]])&amp;"."&amp;$D$30)</f>
        <v>geoserver-aqud-multi.aquadvanced.com</v>
      </c>
      <c r="H54" s="1"/>
    </row>
    <row r="55" spans="1:8" x14ac:dyDescent="0.25">
      <c r="A55" s="70">
        <f t="shared" si="4"/>
        <v>3</v>
      </c>
      <c r="B55" s="65" t="str">
        <f t="shared" si="3"/>
        <v>api-datacollect</v>
      </c>
      <c r="C55" s="65" t="str">
        <f t="shared" si="3"/>
        <v>aqud</v>
      </c>
      <c r="D55" s="65" t="str">
        <f t="shared" si="3"/>
        <v>multi</v>
      </c>
      <c r="E55" s="65" t="str">
        <f t="shared" si="3"/>
        <v>prod</v>
      </c>
      <c r="F55" s="65" t="str">
        <f>IF(Table31114[[#This Row],[Product]]="","",IF(Table31114[[#This Row],[Component]]="","",Table31114[[#This Row],[Component]]&amp;"-")&amp;Table31114[[#This Row],[Product]]&amp;"-"&amp;Table31114[[#This Row],[Customer]]&amp;"-"&amp;Table31114[[#This Row],[Environment]]&amp;"-http-listener")</f>
        <v>api-datacollect-aqud-multi-prod-http-listener</v>
      </c>
      <c r="G55" s="65" t="str">
        <f>IF(Table31114[[#This Row],[Product]]="","",IF(Table31114[[#This Row],[Component]]="","",Table31114[[#This Row],[Component]]&amp;"-")&amp;Table31114[[#This Row],[Product]]&amp;"-"&amp;Table31114[[#This Row],[Customer]]&amp;IF(Table31114[[#This Row],[Environment]]="prod","","-"&amp;Table31114[[#This Row],[Environment]])&amp;"."&amp;$D$30)</f>
        <v>api-datacollect-aqud-multi.aquadvanced.com</v>
      </c>
      <c r="H55" s="1"/>
    </row>
    <row r="56" spans="1:8" x14ac:dyDescent="0.25">
      <c r="A56" s="70">
        <f t="shared" si="4"/>
        <v>4</v>
      </c>
      <c r="B56" s="65" t="str">
        <f t="shared" si="3"/>
        <v/>
      </c>
      <c r="C56" s="65" t="str">
        <f t="shared" si="3"/>
        <v>aqud</v>
      </c>
      <c r="D56" s="65" t="str">
        <f t="shared" si="3"/>
        <v>case</v>
      </c>
      <c r="E56" s="65" t="str">
        <f t="shared" si="3"/>
        <v>prod</v>
      </c>
      <c r="F56" s="65" t="str">
        <f>IF(Table31114[[#This Row],[Product]]="","",IF(Table31114[[#This Row],[Component]]="","",Table31114[[#This Row],[Component]]&amp;"-")&amp;Table31114[[#This Row],[Product]]&amp;"-"&amp;Table31114[[#This Row],[Customer]]&amp;"-"&amp;Table31114[[#This Row],[Environment]]&amp;"-http-listener")</f>
        <v>aqud-case-prod-http-listener</v>
      </c>
      <c r="G56" s="65" t="str">
        <f>IF(Table31114[[#This Row],[Product]]="","",IF(Table31114[[#This Row],[Component]]="","",Table31114[[#This Row],[Component]]&amp;"-")&amp;Table31114[[#This Row],[Product]]&amp;"-"&amp;Table31114[[#This Row],[Customer]]&amp;IF(Table31114[[#This Row],[Environment]]="prod","","-"&amp;Table31114[[#This Row],[Environment]])&amp;"."&amp;$D$30)</f>
        <v>aqud-case.aquadvanced.com</v>
      </c>
      <c r="H56" s="1"/>
    </row>
    <row r="57" spans="1:8" x14ac:dyDescent="0.25">
      <c r="A57" s="70">
        <f t="shared" si="4"/>
        <v>5</v>
      </c>
      <c r="B57" s="65" t="str">
        <f t="shared" si="3"/>
        <v/>
      </c>
      <c r="C57" s="65" t="str">
        <f t="shared" si="3"/>
        <v/>
      </c>
      <c r="D57" s="65" t="str">
        <f t="shared" si="3"/>
        <v/>
      </c>
      <c r="E57" s="65" t="str">
        <f t="shared" si="3"/>
        <v/>
      </c>
      <c r="F57" s="65" t="str">
        <f>IF(Table31114[[#This Row],[Product]]="","",IF(Table31114[[#This Row],[Component]]="","",Table31114[[#This Row],[Component]]&amp;"-")&amp;Table31114[[#This Row],[Product]]&amp;"-"&amp;Table31114[[#This Row],[Customer]]&amp;"-"&amp;Table31114[[#This Row],[Environment]]&amp;"-http-listener")</f>
        <v/>
      </c>
      <c r="G57" s="65" t="str">
        <f>IF(Table31114[[#This Row],[Product]]="","",IF(Table31114[[#This Row],[Component]]="","",Table31114[[#This Row],[Component]]&amp;"-")&amp;Table31114[[#This Row],[Product]]&amp;"-"&amp;Table31114[[#This Row],[Customer]]&amp;IF(Table31114[[#This Row],[Environment]]="prod","","-"&amp;Table31114[[#This Row],[Environment]])&amp;"."&amp;$D$30)</f>
        <v/>
      </c>
      <c r="H57" s="1"/>
    </row>
    <row r="58" spans="1:8" x14ac:dyDescent="0.25">
      <c r="A58" s="70">
        <f t="shared" si="4"/>
        <v>6</v>
      </c>
      <c r="B58" s="65" t="str">
        <f t="shared" si="3"/>
        <v/>
      </c>
      <c r="C58" s="65" t="str">
        <f t="shared" si="3"/>
        <v/>
      </c>
      <c r="D58" s="65" t="str">
        <f t="shared" si="3"/>
        <v/>
      </c>
      <c r="E58" s="65" t="str">
        <f t="shared" si="3"/>
        <v/>
      </c>
      <c r="F58" s="65" t="str">
        <f>IF(Table31114[[#This Row],[Product]]="","",IF(Table31114[[#This Row],[Component]]="","",Table31114[[#This Row],[Component]]&amp;"-")&amp;Table31114[[#This Row],[Product]]&amp;"-"&amp;Table31114[[#This Row],[Customer]]&amp;"-"&amp;Table31114[[#This Row],[Environment]]&amp;"-http-listener")</f>
        <v/>
      </c>
      <c r="G58" s="65" t="str">
        <f>IF(Table31114[[#This Row],[Product]]="","",IF(Table31114[[#This Row],[Component]]="","",Table31114[[#This Row],[Component]]&amp;"-")&amp;Table31114[[#This Row],[Product]]&amp;"-"&amp;Table31114[[#This Row],[Customer]]&amp;IF(Table31114[[#This Row],[Environment]]="prod","","-"&amp;Table31114[[#This Row],[Environment]])&amp;"."&amp;$D$30)</f>
        <v/>
      </c>
      <c r="H58" s="1"/>
    </row>
    <row r="59" spans="1:8" x14ac:dyDescent="0.25">
      <c r="A59" s="70">
        <f t="shared" si="4"/>
        <v>7</v>
      </c>
      <c r="B59" s="65" t="str">
        <f t="shared" si="3"/>
        <v/>
      </c>
      <c r="C59" s="65" t="str">
        <f t="shared" si="3"/>
        <v/>
      </c>
      <c r="D59" s="65" t="str">
        <f t="shared" si="3"/>
        <v/>
      </c>
      <c r="E59" s="65" t="str">
        <f t="shared" si="3"/>
        <v/>
      </c>
      <c r="F59" s="65" t="str">
        <f>IF(Table31114[[#This Row],[Product]]="","",IF(Table31114[[#This Row],[Component]]="","",Table31114[[#This Row],[Component]]&amp;"-")&amp;Table31114[[#This Row],[Product]]&amp;"-"&amp;Table31114[[#This Row],[Customer]]&amp;"-"&amp;Table31114[[#This Row],[Environment]]&amp;"-http-listener")</f>
        <v/>
      </c>
      <c r="G59" s="65" t="str">
        <f>IF(Table31114[[#This Row],[Product]]="","",IF(Table31114[[#This Row],[Component]]="","",Table31114[[#This Row],[Component]]&amp;"-")&amp;Table31114[[#This Row],[Product]]&amp;"-"&amp;Table31114[[#This Row],[Customer]]&amp;IF(Table31114[[#This Row],[Environment]]="prod","","-"&amp;Table31114[[#This Row],[Environment]])&amp;"."&amp;$D$30)</f>
        <v/>
      </c>
      <c r="H59" s="1"/>
    </row>
    <row r="60" spans="1:8" x14ac:dyDescent="0.25">
      <c r="A60" s="70">
        <f t="shared" si="4"/>
        <v>8</v>
      </c>
      <c r="B60" s="65" t="str">
        <f t="shared" si="3"/>
        <v/>
      </c>
      <c r="C60" s="65" t="str">
        <f t="shared" si="3"/>
        <v/>
      </c>
      <c r="D60" s="65" t="str">
        <f t="shared" si="3"/>
        <v/>
      </c>
      <c r="E60" s="65" t="str">
        <f t="shared" si="3"/>
        <v/>
      </c>
      <c r="F60" s="65" t="str">
        <f>IF(Table31114[[#This Row],[Product]]="","",IF(Table31114[[#This Row],[Component]]="","",Table31114[[#This Row],[Component]]&amp;"-")&amp;Table31114[[#This Row],[Product]]&amp;"-"&amp;Table31114[[#This Row],[Customer]]&amp;"-"&amp;Table31114[[#This Row],[Environment]]&amp;"-http-listener")</f>
        <v/>
      </c>
      <c r="G60" s="65" t="str">
        <f>IF(Table31114[[#This Row],[Product]]="","",IF(Table31114[[#This Row],[Component]]="","",Table31114[[#This Row],[Component]]&amp;"-")&amp;Table31114[[#This Row],[Product]]&amp;"-"&amp;Table31114[[#This Row],[Customer]]&amp;IF(Table31114[[#This Row],[Environment]]="prod","","-"&amp;Table31114[[#This Row],[Environment]])&amp;"."&amp;$D$30)</f>
        <v/>
      </c>
      <c r="H60" s="1"/>
    </row>
    <row r="61" spans="1:8" x14ac:dyDescent="0.25">
      <c r="A61" s="70">
        <f t="shared" si="4"/>
        <v>9</v>
      </c>
      <c r="B61" s="65" t="str">
        <f t="shared" si="3"/>
        <v/>
      </c>
      <c r="C61" s="65" t="str">
        <f t="shared" si="3"/>
        <v/>
      </c>
      <c r="D61" s="65" t="str">
        <f t="shared" si="3"/>
        <v/>
      </c>
      <c r="E61" s="65" t="str">
        <f t="shared" si="3"/>
        <v/>
      </c>
      <c r="F61" s="65" t="str">
        <f>IF(Table31114[[#This Row],[Product]]="","",IF(Table31114[[#This Row],[Component]]="","",Table31114[[#This Row],[Component]]&amp;"-")&amp;Table31114[[#This Row],[Product]]&amp;"-"&amp;Table31114[[#This Row],[Customer]]&amp;"-"&amp;Table31114[[#This Row],[Environment]]&amp;"-http-listener")</f>
        <v/>
      </c>
      <c r="G61" s="65" t="str">
        <f>IF(Table31114[[#This Row],[Product]]="","",IF(Table31114[[#This Row],[Component]]="","",Table31114[[#This Row],[Component]]&amp;"-")&amp;Table31114[[#This Row],[Product]]&amp;"-"&amp;Table31114[[#This Row],[Customer]]&amp;IF(Table31114[[#This Row],[Environment]]="prod","","-"&amp;Table31114[[#This Row],[Environment]])&amp;"."&amp;$D$30)</f>
        <v/>
      </c>
      <c r="H61" s="1"/>
    </row>
    <row r="62" spans="1:8" x14ac:dyDescent="0.25">
      <c r="A62" s="70">
        <f t="shared" si="4"/>
        <v>10</v>
      </c>
      <c r="B62" s="65" t="str">
        <f t="shared" si="3"/>
        <v/>
      </c>
      <c r="C62" s="65" t="str">
        <f t="shared" si="3"/>
        <v/>
      </c>
      <c r="D62" s="65" t="str">
        <f t="shared" si="3"/>
        <v/>
      </c>
      <c r="E62" s="65" t="str">
        <f t="shared" si="3"/>
        <v/>
      </c>
      <c r="F62" s="65" t="str">
        <f>IF(Table31114[[#This Row],[Product]]="","",IF(Table31114[[#This Row],[Component]]="","",Table31114[[#This Row],[Component]]&amp;"-")&amp;Table31114[[#This Row],[Product]]&amp;"-"&amp;Table31114[[#This Row],[Customer]]&amp;"-"&amp;Table31114[[#This Row],[Environment]]&amp;"-http-listener")</f>
        <v/>
      </c>
      <c r="G62" s="65" t="str">
        <f>IF(Table31114[[#This Row],[Product]]="","",IF(Table31114[[#This Row],[Component]]="","",Table31114[[#This Row],[Component]]&amp;"-")&amp;Table31114[[#This Row],[Product]]&amp;"-"&amp;Table31114[[#This Row],[Customer]]&amp;IF(Table31114[[#This Row],[Environment]]="prod","","-"&amp;Table31114[[#This Row],[Environment]])&amp;"."&amp;$D$30)</f>
        <v/>
      </c>
      <c r="H62" s="1"/>
    </row>
    <row r="63" spans="1:8" x14ac:dyDescent="0.25">
      <c r="A63" s="70">
        <f t="shared" si="4"/>
        <v>11</v>
      </c>
      <c r="B63" s="65" t="str">
        <f t="shared" si="3"/>
        <v/>
      </c>
      <c r="C63" s="65" t="str">
        <f t="shared" si="3"/>
        <v/>
      </c>
      <c r="D63" s="65" t="str">
        <f t="shared" si="3"/>
        <v/>
      </c>
      <c r="E63" s="65" t="str">
        <f t="shared" si="3"/>
        <v/>
      </c>
      <c r="F63" s="65" t="str">
        <f>IF(Table31114[[#This Row],[Product]]="","",IF(Table31114[[#This Row],[Component]]="","",Table31114[[#This Row],[Component]]&amp;"-")&amp;Table31114[[#This Row],[Product]]&amp;"-"&amp;Table31114[[#This Row],[Customer]]&amp;"-"&amp;Table31114[[#This Row],[Environment]]&amp;"-http-listener")</f>
        <v/>
      </c>
      <c r="G63" s="65" t="str">
        <f>IF(Table31114[[#This Row],[Product]]="","",IF(Table31114[[#This Row],[Component]]="","",Table31114[[#This Row],[Component]]&amp;"-")&amp;Table31114[[#This Row],[Product]]&amp;"-"&amp;Table31114[[#This Row],[Customer]]&amp;IF(Table31114[[#This Row],[Environment]]="prod","","-"&amp;Table31114[[#This Row],[Environment]])&amp;"."&amp;$D$30)</f>
        <v/>
      </c>
      <c r="H63" s="1"/>
    </row>
    <row r="64" spans="1:8" x14ac:dyDescent="0.25">
      <c r="A64" s="70">
        <f t="shared" si="4"/>
        <v>12</v>
      </c>
      <c r="B64" s="65" t="str">
        <f t="shared" si="3"/>
        <v/>
      </c>
      <c r="C64" s="65" t="str">
        <f t="shared" si="3"/>
        <v/>
      </c>
      <c r="D64" s="65" t="str">
        <f t="shared" si="3"/>
        <v/>
      </c>
      <c r="E64" s="65" t="str">
        <f t="shared" si="3"/>
        <v/>
      </c>
      <c r="F64" s="65" t="str">
        <f>IF(Table31114[[#This Row],[Product]]="","",IF(Table31114[[#This Row],[Component]]="","",Table31114[[#This Row],[Component]]&amp;"-")&amp;Table31114[[#This Row],[Product]]&amp;"-"&amp;Table31114[[#This Row],[Customer]]&amp;"-"&amp;Table31114[[#This Row],[Environment]]&amp;"-http-listener")</f>
        <v/>
      </c>
      <c r="G64" s="65" t="str">
        <f>IF(Table31114[[#This Row],[Product]]="","",IF(Table31114[[#This Row],[Component]]="","",Table31114[[#This Row],[Component]]&amp;"-")&amp;Table31114[[#This Row],[Product]]&amp;"-"&amp;Table31114[[#This Row],[Customer]]&amp;IF(Table31114[[#This Row],[Environment]]="prod","","-"&amp;Table31114[[#This Row],[Environment]])&amp;"."&amp;$D$30)</f>
        <v/>
      </c>
      <c r="H64" s="1"/>
    </row>
    <row r="66" spans="1:10" x14ac:dyDescent="0.25">
      <c r="A66" s="44" t="s">
        <v>119</v>
      </c>
    </row>
    <row r="67" spans="1:10" x14ac:dyDescent="0.25">
      <c r="A67" s="74" t="s">
        <v>113</v>
      </c>
      <c r="B67" s="58" t="s">
        <v>118</v>
      </c>
    </row>
    <row r="69" spans="1:10" x14ac:dyDescent="0.25">
      <c r="B69" s="16" t="s">
        <v>98</v>
      </c>
      <c r="C69" s="15" t="s">
        <v>93</v>
      </c>
      <c r="D69" s="15" t="s">
        <v>51</v>
      </c>
      <c r="E69" s="15" t="s">
        <v>50</v>
      </c>
      <c r="F69" s="14" t="s">
        <v>109</v>
      </c>
      <c r="G69" s="15" t="s">
        <v>108</v>
      </c>
      <c r="H69" s="14" t="s">
        <v>107</v>
      </c>
      <c r="I69" s="15" t="s">
        <v>117</v>
      </c>
      <c r="J69" s="56" t="s">
        <v>116</v>
      </c>
    </row>
    <row r="70" spans="1:10" x14ac:dyDescent="0.25">
      <c r="A70" s="70">
        <v>1</v>
      </c>
      <c r="B70" s="72" t="str">
        <f>IF(B15="","",B15)</f>
        <v>identity</v>
      </c>
      <c r="C70" s="58" t="str">
        <f>IF(C15="","",C15)</f>
        <v>aqud</v>
      </c>
      <c r="D70" s="58" t="str">
        <f>IF(D15="","",D15)</f>
        <v>multi</v>
      </c>
      <c r="E70" s="58" t="str">
        <f>IF(E15="","",E15)</f>
        <v>prod</v>
      </c>
      <c r="F70" s="65" t="str">
        <f>IF(Table3612[[#This Row],[Product]]="","",IF(Table3612[[#This Row],[Component]]="","",Table3612[[#This Row],[Component]]&amp;"-")&amp;Table3612[[#This Row],[Product]]&amp;"-"&amp;Table3612[[#This Row],[Customer]]&amp;"-"&amp;Table3612[[#This Row],[Environment]]&amp;"-routing-rule")</f>
        <v>identity-aqud-multi-prod-routing-rule</v>
      </c>
      <c r="G70" s="71"/>
      <c r="H70" s="65" t="str">
        <f>IF(Table3612[[#This Row],[Product]]="","",IF(Table3612[[#This Row],[Component]]="","",Table3612[[#This Row],[Component]]&amp;"-")&amp;Table3612[[#This Row],[Product]]&amp;"-"&amp;Table3612[[#This Row],[Customer]]&amp;"-"&amp;Table3612[[#This Row],[Environment]]&amp;"-https-listener")</f>
        <v>identity-aqud-multi-prod-https-listener</v>
      </c>
      <c r="I70" s="71" t="s">
        <v>115</v>
      </c>
      <c r="J70" s="65" t="str">
        <f>IF(Table3612[[#This Row],[Product]]="","",IF(Table3612[[#This Row],[Component]]="","",Table3612[[#This Row],[Component]]&amp;"-")&amp;Table3612[[#This Row],[Product]]&amp;"-"&amp;Table3612[[#This Row],[Customer]]&amp;"-"&amp;Table3612[[#This Row],[Environment]]&amp;"-backend-settings")</f>
        <v>identity-aqud-multi-prod-backend-settings</v>
      </c>
    </row>
    <row r="71" spans="1:10" x14ac:dyDescent="0.25">
      <c r="A71" s="70">
        <f t="shared" ref="A71:A81" si="5">A70+1</f>
        <v>2</v>
      </c>
      <c r="B71" s="72" t="str">
        <f t="shared" ref="B71:B81" si="6">IF(B16="","",B16)</f>
        <v>geoserver</v>
      </c>
      <c r="C71" s="58"/>
      <c r="D71" s="58" t="str">
        <f t="shared" ref="D71:E81" si="7">IF(D16="","",D16)</f>
        <v>multi</v>
      </c>
      <c r="E71" s="58" t="str">
        <f t="shared" si="7"/>
        <v>prod</v>
      </c>
      <c r="F71" s="65" t="str">
        <f>IF(Table3612[[#This Row],[Product]]="","",IF(Table3612[[#This Row],[Component]]="","",Table3612[[#This Row],[Component]]&amp;"-")&amp;Table3612[[#This Row],[Product]]&amp;"-"&amp;Table3612[[#This Row],[Customer]]&amp;"-"&amp;Table3612[[#This Row],[Environment]]&amp;"-routing-rule")</f>
        <v/>
      </c>
      <c r="G71" s="71"/>
      <c r="H71" s="65" t="str">
        <f>IF(Table3612[[#This Row],[Product]]="","",IF(Table3612[[#This Row],[Component]]="","",Table3612[[#This Row],[Component]]&amp;"-")&amp;Table3612[[#This Row],[Product]]&amp;"-"&amp;Table3612[[#This Row],[Customer]]&amp;"-"&amp;Table3612[[#This Row],[Environment]]&amp;"-https-listener")</f>
        <v/>
      </c>
      <c r="I71" s="71" t="s">
        <v>115</v>
      </c>
      <c r="J71" s="65" t="str">
        <f>IF(Table3612[[#This Row],[Product]]="","",IF(Table3612[[#This Row],[Component]]="","",Table3612[[#This Row],[Component]]&amp;"-")&amp;Table3612[[#This Row],[Product]]&amp;"-"&amp;Table3612[[#This Row],[Customer]]&amp;"-"&amp;Table3612[[#This Row],[Environment]]&amp;"-backend-settings")</f>
        <v/>
      </c>
    </row>
    <row r="72" spans="1:10" x14ac:dyDescent="0.25">
      <c r="A72" s="70">
        <f t="shared" si="5"/>
        <v>3</v>
      </c>
      <c r="B72" s="72" t="str">
        <f t="shared" si="6"/>
        <v>api-datacollect</v>
      </c>
      <c r="C72" s="58"/>
      <c r="D72" s="58" t="str">
        <f t="shared" si="7"/>
        <v>multi</v>
      </c>
      <c r="E72" s="58" t="str">
        <f t="shared" si="7"/>
        <v>prod</v>
      </c>
      <c r="F72" s="65" t="str">
        <f>IF(Table3612[[#This Row],[Product]]="","",IF(Table3612[[#This Row],[Component]]="","",Table3612[[#This Row],[Component]]&amp;"-")&amp;Table3612[[#This Row],[Product]]&amp;"-"&amp;Table3612[[#This Row],[Customer]]&amp;"-"&amp;Table3612[[#This Row],[Environment]]&amp;"-routing-rule")</f>
        <v/>
      </c>
      <c r="G72" s="71"/>
      <c r="H72" s="65" t="str">
        <f>IF(Table3612[[#This Row],[Product]]="","",IF(Table3612[[#This Row],[Component]]="","",Table3612[[#This Row],[Component]]&amp;"-")&amp;Table3612[[#This Row],[Product]]&amp;"-"&amp;Table3612[[#This Row],[Customer]]&amp;"-"&amp;Table3612[[#This Row],[Environment]]&amp;"-https-listener")</f>
        <v/>
      </c>
      <c r="I72" s="71" t="s">
        <v>115</v>
      </c>
      <c r="J72" s="65" t="str">
        <f>IF(Table3612[[#This Row],[Product]]="","",IF(Table3612[[#This Row],[Component]]="","",Table3612[[#This Row],[Component]]&amp;"-")&amp;Table3612[[#This Row],[Product]]&amp;"-"&amp;Table3612[[#This Row],[Customer]]&amp;"-"&amp;Table3612[[#This Row],[Environment]]&amp;"-backend-settings")</f>
        <v/>
      </c>
    </row>
    <row r="73" spans="1:10" x14ac:dyDescent="0.25">
      <c r="A73" s="70">
        <f t="shared" si="5"/>
        <v>4</v>
      </c>
      <c r="B73" s="72" t="str">
        <f t="shared" si="6"/>
        <v/>
      </c>
      <c r="C73" s="58"/>
      <c r="D73" s="58" t="str">
        <f t="shared" si="7"/>
        <v>case</v>
      </c>
      <c r="E73" s="58" t="str">
        <f t="shared" si="7"/>
        <v>prod</v>
      </c>
      <c r="F73" s="65" t="str">
        <f>IF(Table3612[[#This Row],[Product]]="","",IF(Table3612[[#This Row],[Component]]="","",Table3612[[#This Row],[Component]]&amp;"-")&amp;Table3612[[#This Row],[Product]]&amp;"-"&amp;Table3612[[#This Row],[Customer]]&amp;"-"&amp;Table3612[[#This Row],[Environment]]&amp;"-routing-rule")</f>
        <v/>
      </c>
      <c r="G73" s="71"/>
      <c r="H73" s="65" t="str">
        <f>IF(Table3612[[#This Row],[Product]]="","",IF(Table3612[[#This Row],[Component]]="","",Table3612[[#This Row],[Component]]&amp;"-")&amp;Table3612[[#This Row],[Product]]&amp;"-"&amp;Table3612[[#This Row],[Customer]]&amp;"-"&amp;Table3612[[#This Row],[Environment]]&amp;"-https-listener")</f>
        <v/>
      </c>
      <c r="I73" s="71"/>
      <c r="J73" s="65" t="str">
        <f>IF(Table3612[[#This Row],[Product]]="","",IF(Table3612[[#This Row],[Component]]="","",Table3612[[#This Row],[Component]]&amp;"-")&amp;Table3612[[#This Row],[Product]]&amp;"-"&amp;Table3612[[#This Row],[Customer]]&amp;"-"&amp;Table3612[[#This Row],[Environment]]&amp;"-backend-settings")</f>
        <v/>
      </c>
    </row>
    <row r="74" spans="1:10" x14ac:dyDescent="0.25">
      <c r="A74" s="70">
        <f t="shared" si="5"/>
        <v>5</v>
      </c>
      <c r="B74" s="72" t="str">
        <f t="shared" si="6"/>
        <v/>
      </c>
      <c r="C74" s="58"/>
      <c r="D74" s="58" t="str">
        <f t="shared" si="7"/>
        <v/>
      </c>
      <c r="E74" s="58" t="str">
        <f t="shared" si="7"/>
        <v/>
      </c>
      <c r="F74" s="65" t="str">
        <f>IF(Table3612[[#This Row],[Product]]="","",IF(Table3612[[#This Row],[Component]]="","",Table3612[[#This Row],[Component]]&amp;"-")&amp;Table3612[[#This Row],[Product]]&amp;"-"&amp;Table3612[[#This Row],[Customer]]&amp;"-"&amp;Table3612[[#This Row],[Environment]]&amp;"-routing-rule")</f>
        <v/>
      </c>
      <c r="G74" s="71"/>
      <c r="H74" s="65" t="str">
        <f>IF(Table3612[[#This Row],[Product]]="","",IF(Table3612[[#This Row],[Component]]="","",Table3612[[#This Row],[Component]]&amp;"-")&amp;Table3612[[#This Row],[Product]]&amp;"-"&amp;Table3612[[#This Row],[Customer]]&amp;"-"&amp;Table3612[[#This Row],[Environment]]&amp;"-https-listener")</f>
        <v/>
      </c>
      <c r="I74" s="71" t="s">
        <v>115</v>
      </c>
      <c r="J74" s="65" t="str">
        <f>IF(Table3612[[#This Row],[Product]]="","",IF(Table3612[[#This Row],[Component]]="","",Table3612[[#This Row],[Component]]&amp;"-")&amp;Table3612[[#This Row],[Product]]&amp;"-"&amp;Table3612[[#This Row],[Customer]]&amp;"-"&amp;Table3612[[#This Row],[Environment]]&amp;"-backend-settings")</f>
        <v/>
      </c>
    </row>
    <row r="75" spans="1:10" x14ac:dyDescent="0.25">
      <c r="A75" s="70">
        <f t="shared" si="5"/>
        <v>6</v>
      </c>
      <c r="B75" s="72" t="str">
        <f t="shared" si="6"/>
        <v/>
      </c>
      <c r="C75" s="58"/>
      <c r="D75" s="58" t="str">
        <f t="shared" si="7"/>
        <v/>
      </c>
      <c r="E75" s="58" t="str">
        <f t="shared" si="7"/>
        <v/>
      </c>
      <c r="F75" s="65" t="str">
        <f>IF(Table3612[[#This Row],[Product]]="","",IF(Table3612[[#This Row],[Component]]="","",Table3612[[#This Row],[Component]]&amp;"-")&amp;Table3612[[#This Row],[Product]]&amp;"-"&amp;Table3612[[#This Row],[Customer]]&amp;"-"&amp;Table3612[[#This Row],[Environment]]&amp;"-routing-rule")</f>
        <v/>
      </c>
      <c r="G75" s="71"/>
      <c r="H75" s="65" t="str">
        <f>IF(Table3612[[#This Row],[Product]]="","",IF(Table3612[[#This Row],[Component]]="","",Table3612[[#This Row],[Component]]&amp;"-")&amp;Table3612[[#This Row],[Product]]&amp;"-"&amp;Table3612[[#This Row],[Customer]]&amp;"-"&amp;Table3612[[#This Row],[Environment]]&amp;"-https-listener")</f>
        <v/>
      </c>
      <c r="I75" s="71"/>
      <c r="J75" s="65" t="str">
        <f>IF(Table3612[[#This Row],[Product]]="","",IF(Table3612[[#This Row],[Component]]="","",Table3612[[#This Row],[Component]]&amp;"-")&amp;Table3612[[#This Row],[Product]]&amp;"-"&amp;Table3612[[#This Row],[Customer]]&amp;"-"&amp;Table3612[[#This Row],[Environment]]&amp;"-backend-settings")</f>
        <v/>
      </c>
    </row>
    <row r="76" spans="1:10" x14ac:dyDescent="0.25">
      <c r="A76" s="70">
        <f t="shared" si="5"/>
        <v>7</v>
      </c>
      <c r="B76" s="72" t="str">
        <f t="shared" si="6"/>
        <v/>
      </c>
      <c r="C76" s="58" t="str">
        <f t="shared" ref="C76:C81" si="8">IF(C21="","",C21)</f>
        <v/>
      </c>
      <c r="D76" s="58" t="str">
        <f t="shared" si="7"/>
        <v/>
      </c>
      <c r="E76" s="58" t="str">
        <f t="shared" si="7"/>
        <v/>
      </c>
      <c r="F76" s="65" t="str">
        <f>IF(Table3612[[#This Row],[Product]]="","",IF(Table3612[[#This Row],[Component]]="","",Table3612[[#This Row],[Component]]&amp;"-")&amp;Table3612[[#This Row],[Product]]&amp;"-"&amp;Table3612[[#This Row],[Customer]]&amp;"-"&amp;Table3612[[#This Row],[Environment]]&amp;"-routing-rule")</f>
        <v/>
      </c>
      <c r="G76" s="71"/>
      <c r="H76" s="65" t="str">
        <f>IF(Table3612[[#This Row],[Product]]="","",IF(Table3612[[#This Row],[Component]]="","",Table3612[[#This Row],[Component]]&amp;"-")&amp;Table3612[[#This Row],[Product]]&amp;"-"&amp;Table3612[[#This Row],[Customer]]&amp;"-"&amp;Table3612[[#This Row],[Environment]]&amp;"-https-listener")</f>
        <v/>
      </c>
      <c r="I76" s="71"/>
      <c r="J76" s="65" t="str">
        <f>IF(Table3612[[#This Row],[Product]]="","",IF(Table3612[[#This Row],[Component]]="","",Table3612[[#This Row],[Component]]&amp;"-")&amp;Table3612[[#This Row],[Product]]&amp;"-"&amp;Table3612[[#This Row],[Customer]]&amp;"-"&amp;Table3612[[#This Row],[Environment]]&amp;"-backend-settings")</f>
        <v/>
      </c>
    </row>
    <row r="77" spans="1:10" x14ac:dyDescent="0.25">
      <c r="A77" s="70">
        <f t="shared" si="5"/>
        <v>8</v>
      </c>
      <c r="B77" s="72" t="str">
        <f t="shared" si="6"/>
        <v/>
      </c>
      <c r="C77" s="58" t="str">
        <f t="shared" si="8"/>
        <v/>
      </c>
      <c r="D77" s="58" t="str">
        <f t="shared" si="7"/>
        <v/>
      </c>
      <c r="E77" s="58" t="str">
        <f t="shared" si="7"/>
        <v/>
      </c>
      <c r="F77" s="65" t="str">
        <f>IF(Table3612[[#This Row],[Product]]="","",IF(Table3612[[#This Row],[Component]]="","",Table3612[[#This Row],[Component]]&amp;"-")&amp;Table3612[[#This Row],[Product]]&amp;"-"&amp;Table3612[[#This Row],[Customer]]&amp;"-"&amp;Table3612[[#This Row],[Environment]]&amp;"-routing-rule")</f>
        <v/>
      </c>
      <c r="G77" s="71"/>
      <c r="H77" s="65" t="str">
        <f>IF(Table3612[[#This Row],[Product]]="","",IF(Table3612[[#This Row],[Component]]="","",Table3612[[#This Row],[Component]]&amp;"-")&amp;Table3612[[#This Row],[Product]]&amp;"-"&amp;Table3612[[#This Row],[Customer]]&amp;"-"&amp;Table3612[[#This Row],[Environment]]&amp;"-https-listener")</f>
        <v/>
      </c>
      <c r="I77" s="71"/>
      <c r="J77" s="65" t="str">
        <f>IF(Table3612[[#This Row],[Product]]="","",IF(Table3612[[#This Row],[Component]]="","",Table3612[[#This Row],[Component]]&amp;"-")&amp;Table3612[[#This Row],[Product]]&amp;"-"&amp;Table3612[[#This Row],[Customer]]&amp;"-"&amp;Table3612[[#This Row],[Environment]]&amp;"-backend-settings")</f>
        <v/>
      </c>
    </row>
    <row r="78" spans="1:10" x14ac:dyDescent="0.25">
      <c r="A78" s="70">
        <f t="shared" si="5"/>
        <v>9</v>
      </c>
      <c r="B78" s="72" t="str">
        <f t="shared" si="6"/>
        <v/>
      </c>
      <c r="C78" s="58" t="str">
        <f t="shared" si="8"/>
        <v/>
      </c>
      <c r="D78" s="58" t="str">
        <f t="shared" si="7"/>
        <v/>
      </c>
      <c r="E78" s="58" t="str">
        <f t="shared" si="7"/>
        <v/>
      </c>
      <c r="F78" s="65" t="str">
        <f>IF(Table3612[[#This Row],[Product]]="","",IF(Table3612[[#This Row],[Component]]="","",Table3612[[#This Row],[Component]]&amp;"-")&amp;Table3612[[#This Row],[Product]]&amp;"-"&amp;Table3612[[#This Row],[Customer]]&amp;"-"&amp;Table3612[[#This Row],[Environment]]&amp;"-routing-rule")</f>
        <v/>
      </c>
      <c r="G78" s="71"/>
      <c r="H78" s="65" t="str">
        <f>IF(Table3612[[#This Row],[Product]]="","",IF(Table3612[[#This Row],[Component]]="","",Table3612[[#This Row],[Component]]&amp;"-")&amp;Table3612[[#This Row],[Product]]&amp;"-"&amp;Table3612[[#This Row],[Customer]]&amp;"-"&amp;Table3612[[#This Row],[Environment]]&amp;"-https-listener")</f>
        <v/>
      </c>
      <c r="I78" s="71"/>
      <c r="J78" s="65" t="str">
        <f>IF(Table3612[[#This Row],[Product]]="","",IF(Table3612[[#This Row],[Component]]="","",Table3612[[#This Row],[Component]]&amp;"-")&amp;Table3612[[#This Row],[Product]]&amp;"-"&amp;Table3612[[#This Row],[Customer]]&amp;"-"&amp;Table3612[[#This Row],[Environment]]&amp;"-backend-settings")</f>
        <v/>
      </c>
    </row>
    <row r="79" spans="1:10" x14ac:dyDescent="0.25">
      <c r="A79" s="70">
        <f t="shared" si="5"/>
        <v>10</v>
      </c>
      <c r="B79" s="72" t="str">
        <f t="shared" si="6"/>
        <v/>
      </c>
      <c r="C79" s="58" t="str">
        <f t="shared" si="8"/>
        <v/>
      </c>
      <c r="D79" s="58" t="str">
        <f t="shared" si="7"/>
        <v/>
      </c>
      <c r="E79" s="58" t="str">
        <f t="shared" si="7"/>
        <v/>
      </c>
      <c r="F79" s="65" t="str">
        <f>IF(Table3612[[#This Row],[Product]]="","",IF(Table3612[[#This Row],[Component]]="","",Table3612[[#This Row],[Component]]&amp;"-")&amp;Table3612[[#This Row],[Product]]&amp;"-"&amp;Table3612[[#This Row],[Customer]]&amp;"-"&amp;Table3612[[#This Row],[Environment]]&amp;"-routing-rule")</f>
        <v/>
      </c>
      <c r="G79" s="71"/>
      <c r="H79" s="65" t="str">
        <f>IF(Table3612[[#This Row],[Product]]="","",IF(Table3612[[#This Row],[Component]]="","",Table3612[[#This Row],[Component]]&amp;"-")&amp;Table3612[[#This Row],[Product]]&amp;"-"&amp;Table3612[[#This Row],[Customer]]&amp;"-"&amp;Table3612[[#This Row],[Environment]]&amp;"-https-listener")</f>
        <v/>
      </c>
      <c r="I79" s="71"/>
      <c r="J79" s="65" t="str">
        <f>IF(Table3612[[#This Row],[Product]]="","",IF(Table3612[[#This Row],[Component]]="","",Table3612[[#This Row],[Component]]&amp;"-")&amp;Table3612[[#This Row],[Product]]&amp;"-"&amp;Table3612[[#This Row],[Customer]]&amp;"-"&amp;Table3612[[#This Row],[Environment]]&amp;"-backend-settings")</f>
        <v/>
      </c>
    </row>
    <row r="80" spans="1:10" x14ac:dyDescent="0.25">
      <c r="A80" s="70">
        <f t="shared" si="5"/>
        <v>11</v>
      </c>
      <c r="B80" s="69" t="str">
        <f t="shared" si="6"/>
        <v/>
      </c>
      <c r="C80" s="62" t="str">
        <f t="shared" si="8"/>
        <v/>
      </c>
      <c r="D80" s="62" t="str">
        <f t="shared" si="7"/>
        <v/>
      </c>
      <c r="E80" s="62" t="str">
        <f t="shared" si="7"/>
        <v/>
      </c>
      <c r="F80" s="68" t="str">
        <f>IF(Table3612[[#This Row],[Product]]="","",IF(Table3612[[#This Row],[Component]]="","",Table3612[[#This Row],[Component]]&amp;"-")&amp;Table3612[[#This Row],[Product]]&amp;"-"&amp;Table3612[[#This Row],[Customer]]&amp;"-"&amp;Table3612[[#This Row],[Environment]]&amp;"-routing-rule")</f>
        <v/>
      </c>
      <c r="G80" s="71"/>
      <c r="H80" s="68" t="str">
        <f>IF(Table3612[[#This Row],[Product]]="","",IF(Table3612[[#This Row],[Component]]="","",Table3612[[#This Row],[Component]]&amp;"-")&amp;Table3612[[#This Row],[Product]]&amp;"-"&amp;Table3612[[#This Row],[Customer]]&amp;"-"&amp;Table3612[[#This Row],[Environment]]&amp;"-https-listener")</f>
        <v/>
      </c>
      <c r="I80" s="71"/>
      <c r="J80" s="65" t="str">
        <f>IF(Table3612[[#This Row],[Product]]="","",IF(Table3612[[#This Row],[Component]]="","",Table3612[[#This Row],[Component]]&amp;"-")&amp;Table3612[[#This Row],[Product]]&amp;"-"&amp;Table3612[[#This Row],[Customer]]&amp;"-"&amp;Table3612[[#This Row],[Environment]]&amp;"-backend-settings")</f>
        <v/>
      </c>
    </row>
    <row r="81" spans="1:10" x14ac:dyDescent="0.25">
      <c r="A81" s="70">
        <f t="shared" si="5"/>
        <v>12</v>
      </c>
      <c r="B81" s="69" t="str">
        <f t="shared" si="6"/>
        <v/>
      </c>
      <c r="C81" s="62" t="str">
        <f t="shared" si="8"/>
        <v/>
      </c>
      <c r="D81" s="62" t="str">
        <f t="shared" si="7"/>
        <v/>
      </c>
      <c r="E81" s="62" t="str">
        <f t="shared" si="7"/>
        <v/>
      </c>
      <c r="F81" s="68" t="str">
        <f>IF(Table3612[[#This Row],[Product]]="","",IF(Table3612[[#This Row],[Component]]="","",Table3612[[#This Row],[Component]]&amp;"-")&amp;Table3612[[#This Row],[Product]]&amp;"-"&amp;Table3612[[#This Row],[Customer]]&amp;"-"&amp;Table3612[[#This Row],[Environment]]&amp;"-routing-rule")</f>
        <v/>
      </c>
      <c r="G81" s="67"/>
      <c r="H81" s="66" t="str">
        <f>IF(Table3612[[#This Row],[Product]]="","",IF(Table3612[[#This Row],[Component]]="","",Table3612[[#This Row],[Component]]&amp;"-")&amp;Table3612[[#This Row],[Product]]&amp;"-"&amp;Table3612[[#This Row],[Customer]]&amp;"-"&amp;Table3612[[#This Row],[Environment]]&amp;"-https-listener")</f>
        <v/>
      </c>
      <c r="I81" s="67"/>
      <c r="J81" s="65" t="str">
        <f>IF(Table3612[[#This Row],[Product]]="","",IF(Table3612[[#This Row],[Component]]="","",Table3612[[#This Row],[Component]]&amp;"-")&amp;Table3612[[#This Row],[Product]]&amp;"-"&amp;Table3612[[#This Row],[Customer]]&amp;"-"&amp;Table3612[[#This Row],[Environment]]&amp;"-backend-settings")</f>
        <v/>
      </c>
    </row>
    <row r="83" spans="1:10" x14ac:dyDescent="0.25">
      <c r="A83" s="44" t="s">
        <v>114</v>
      </c>
    </row>
    <row r="84" spans="1:10" x14ac:dyDescent="0.25">
      <c r="A84" s="74" t="s">
        <v>113</v>
      </c>
      <c r="B84" s="58" t="s">
        <v>112</v>
      </c>
    </row>
    <row r="85" spans="1:10" x14ac:dyDescent="0.25">
      <c r="A85" s="74" t="s">
        <v>111</v>
      </c>
      <c r="B85" s="58" t="s">
        <v>110</v>
      </c>
      <c r="F85" s="73"/>
    </row>
    <row r="87" spans="1:10" x14ac:dyDescent="0.25">
      <c r="B87" s="16" t="s">
        <v>98</v>
      </c>
      <c r="C87" s="15" t="s">
        <v>93</v>
      </c>
      <c r="D87" s="15" t="s">
        <v>51</v>
      </c>
      <c r="E87" s="15" t="s">
        <v>50</v>
      </c>
      <c r="F87" s="14" t="s">
        <v>109</v>
      </c>
      <c r="G87" s="15" t="s">
        <v>108</v>
      </c>
      <c r="H87" s="14" t="s">
        <v>107</v>
      </c>
      <c r="I87" s="56" t="s">
        <v>106</v>
      </c>
    </row>
    <row r="88" spans="1:10" x14ac:dyDescent="0.25">
      <c r="A88" s="70">
        <v>1</v>
      </c>
      <c r="B88" s="72" t="str">
        <f t="shared" ref="B88:E99" si="9">IF(B15="","",B15)</f>
        <v>identity</v>
      </c>
      <c r="C88" s="58" t="str">
        <f t="shared" si="9"/>
        <v>aqud</v>
      </c>
      <c r="D88" s="58" t="str">
        <f t="shared" si="9"/>
        <v>multi</v>
      </c>
      <c r="E88" s="58" t="str">
        <f t="shared" si="9"/>
        <v>prod</v>
      </c>
      <c r="F88" s="65" t="str">
        <f>IF(Table36813[[#This Row],[Product]]="","",IF(Table36813[[#This Row],[Component]]="","",Table36813[[#This Row],[Component]]&amp;"-")&amp;Table36813[[#This Row],[Product]]&amp;"-"&amp;Table36813[[#This Row],[Customer]]&amp;"-"&amp;Table36813[[#This Row],[Environment]]&amp;"-redirect-routing-rule")</f>
        <v>identity-aqud-multi-prod-redirect-routing-rule</v>
      </c>
      <c r="G88" s="71"/>
      <c r="H88" s="65" t="str">
        <f>IF(Table36813[[#This Row],[Product]]="","",IF(Table36813[[#This Row],[Component]]="","",Table36813[[#This Row],[Component]]&amp;"-")&amp;Table36813[[#This Row],[Product]]&amp;"-"&amp;Table36813[[#This Row],[Customer]]&amp;"-"&amp;Table36813[[#This Row],[Environment]]&amp;"-http-listener")</f>
        <v>identity-aqud-multi-prod-http-listener</v>
      </c>
      <c r="I88" s="65" t="str">
        <f>IF(Table36813[[#This Row],[Product]]="","",IF(Table36813[[#This Row],[Component]]="","",Table36813[[#This Row],[Component]]&amp;"-")&amp;Table36813[[#This Row],[Product]]&amp;"-"&amp;Table36813[[#This Row],[Customer]]&amp;"-"&amp;Table36813[[#This Row],[Environment]]&amp;"-https-listener")</f>
        <v>identity-aqud-multi-prod-https-listener</v>
      </c>
    </row>
    <row r="89" spans="1:10" x14ac:dyDescent="0.25">
      <c r="A89" s="70">
        <f t="shared" ref="A89:A99" si="10">A88+1</f>
        <v>2</v>
      </c>
      <c r="B89" s="72" t="str">
        <f t="shared" si="9"/>
        <v>geoserver</v>
      </c>
      <c r="C89" s="58" t="str">
        <f t="shared" si="9"/>
        <v>aqud</v>
      </c>
      <c r="D89" s="58" t="str">
        <f t="shared" si="9"/>
        <v>multi</v>
      </c>
      <c r="E89" s="58" t="str">
        <f t="shared" si="9"/>
        <v>prod</v>
      </c>
      <c r="F89" s="65" t="str">
        <f>IF(Table36813[[#This Row],[Product]]="","",IF(Table36813[[#This Row],[Component]]="","",Table36813[[#This Row],[Component]]&amp;"-")&amp;Table36813[[#This Row],[Product]]&amp;"-"&amp;Table36813[[#This Row],[Customer]]&amp;"-"&amp;Table36813[[#This Row],[Environment]]&amp;"-redirect-routing-rule")</f>
        <v>geoserver-aqud-multi-prod-redirect-routing-rule</v>
      </c>
      <c r="G89" s="71"/>
      <c r="H89" s="65" t="str">
        <f>IF(Table36813[[#This Row],[Product]]="","",IF(Table36813[[#This Row],[Component]]="","",Table36813[[#This Row],[Component]]&amp;"-")&amp;Table36813[[#This Row],[Product]]&amp;"-"&amp;Table36813[[#This Row],[Customer]]&amp;"-"&amp;Table36813[[#This Row],[Environment]]&amp;"-http-listener")</f>
        <v>geoserver-aqud-multi-prod-http-listener</v>
      </c>
      <c r="I89" s="65" t="str">
        <f>IF(Table36813[[#This Row],[Product]]="","",IF(Table36813[[#This Row],[Component]]="","",Table36813[[#This Row],[Component]]&amp;"-")&amp;Table36813[[#This Row],[Product]]&amp;"-"&amp;Table36813[[#This Row],[Customer]]&amp;"-"&amp;Table36813[[#This Row],[Environment]]&amp;"-https-listener")</f>
        <v>geoserver-aqud-multi-prod-https-listener</v>
      </c>
    </row>
    <row r="90" spans="1:10" x14ac:dyDescent="0.25">
      <c r="A90" s="70">
        <f t="shared" si="10"/>
        <v>3</v>
      </c>
      <c r="B90" s="72" t="str">
        <f t="shared" si="9"/>
        <v>api-datacollect</v>
      </c>
      <c r="C90" s="58" t="str">
        <f t="shared" si="9"/>
        <v>aqud</v>
      </c>
      <c r="D90" s="58" t="str">
        <f t="shared" si="9"/>
        <v>multi</v>
      </c>
      <c r="E90" s="58" t="str">
        <f t="shared" si="9"/>
        <v>prod</v>
      </c>
      <c r="F90" s="65" t="str">
        <f>IF(Table36813[[#This Row],[Product]]="","",IF(Table36813[[#This Row],[Component]]="","",Table36813[[#This Row],[Component]]&amp;"-")&amp;Table36813[[#This Row],[Product]]&amp;"-"&amp;Table36813[[#This Row],[Customer]]&amp;"-"&amp;Table36813[[#This Row],[Environment]]&amp;"-redirect-routing-rule")</f>
        <v>api-datacollect-aqud-multi-prod-redirect-routing-rule</v>
      </c>
      <c r="G90" s="71"/>
      <c r="H90" s="65" t="str">
        <f>IF(Table36813[[#This Row],[Product]]="","",IF(Table36813[[#This Row],[Component]]="","",Table36813[[#This Row],[Component]]&amp;"-")&amp;Table36813[[#This Row],[Product]]&amp;"-"&amp;Table36813[[#This Row],[Customer]]&amp;"-"&amp;Table36813[[#This Row],[Environment]]&amp;"-http-listener")</f>
        <v>api-datacollect-aqud-multi-prod-http-listener</v>
      </c>
      <c r="I90" s="65" t="str">
        <f>IF(Table36813[[#This Row],[Product]]="","",IF(Table36813[[#This Row],[Component]]="","",Table36813[[#This Row],[Component]]&amp;"-")&amp;Table36813[[#This Row],[Product]]&amp;"-"&amp;Table36813[[#This Row],[Customer]]&amp;"-"&amp;Table36813[[#This Row],[Environment]]&amp;"-https-listener")</f>
        <v>api-datacollect-aqud-multi-prod-https-listener</v>
      </c>
    </row>
    <row r="91" spans="1:10" x14ac:dyDescent="0.25">
      <c r="A91" s="70">
        <f t="shared" si="10"/>
        <v>4</v>
      </c>
      <c r="B91" s="72" t="str">
        <f t="shared" si="9"/>
        <v/>
      </c>
      <c r="C91" s="58" t="str">
        <f t="shared" si="9"/>
        <v>aqud</v>
      </c>
      <c r="D91" s="58" t="str">
        <f t="shared" si="9"/>
        <v>case</v>
      </c>
      <c r="E91" s="58" t="str">
        <f t="shared" si="9"/>
        <v>prod</v>
      </c>
      <c r="F91" s="65" t="str">
        <f>IF(Table36813[[#This Row],[Product]]="","",IF(Table36813[[#This Row],[Component]]="","",Table36813[[#This Row],[Component]]&amp;"-")&amp;Table36813[[#This Row],[Product]]&amp;"-"&amp;Table36813[[#This Row],[Customer]]&amp;"-"&amp;Table36813[[#This Row],[Environment]]&amp;"-redirect-routing-rule")</f>
        <v>aqud-case-prod-redirect-routing-rule</v>
      </c>
      <c r="G91" s="71"/>
      <c r="H91" s="65" t="str">
        <f>IF(Table36813[[#This Row],[Product]]="","",IF(Table36813[[#This Row],[Component]]="","",Table36813[[#This Row],[Component]]&amp;"-")&amp;Table36813[[#This Row],[Product]]&amp;"-"&amp;Table36813[[#This Row],[Customer]]&amp;"-"&amp;Table36813[[#This Row],[Environment]]&amp;"-http-listener")</f>
        <v>aqud-case-prod-http-listener</v>
      </c>
      <c r="I91" s="65" t="str">
        <f>IF(Table36813[[#This Row],[Product]]="","",IF(Table36813[[#This Row],[Component]]="","",Table36813[[#This Row],[Component]]&amp;"-")&amp;Table36813[[#This Row],[Product]]&amp;"-"&amp;Table36813[[#This Row],[Customer]]&amp;"-"&amp;Table36813[[#This Row],[Environment]]&amp;"-https-listener")</f>
        <v>aqud-case-prod-https-listener</v>
      </c>
    </row>
    <row r="92" spans="1:10" x14ac:dyDescent="0.25">
      <c r="A92" s="70">
        <f t="shared" si="10"/>
        <v>5</v>
      </c>
      <c r="B92" s="69" t="str">
        <f t="shared" si="9"/>
        <v/>
      </c>
      <c r="C92" s="62" t="str">
        <f t="shared" si="9"/>
        <v/>
      </c>
      <c r="D92" s="62" t="str">
        <f t="shared" si="9"/>
        <v/>
      </c>
      <c r="E92" s="62" t="str">
        <f t="shared" si="9"/>
        <v/>
      </c>
      <c r="F92" s="68" t="str">
        <f>IF(Table36813[[#This Row],[Product]]="","",IF(Table36813[[#This Row],[Component]]="","",Table36813[[#This Row],[Component]]&amp;"-")&amp;Table36813[[#This Row],[Product]]&amp;"-"&amp;Table36813[[#This Row],[Customer]]&amp;"-"&amp;Table36813[[#This Row],[Environment]]&amp;"-redirect-routing-rule")</f>
        <v/>
      </c>
      <c r="G92" s="71"/>
      <c r="H92" s="68" t="str">
        <f>IF(Table36813[[#This Row],[Product]]="","",IF(Table36813[[#This Row],[Component]]="","",Table36813[[#This Row],[Component]]&amp;"-")&amp;Table36813[[#This Row],[Product]]&amp;"-"&amp;Table36813[[#This Row],[Customer]]&amp;"-"&amp;Table36813[[#This Row],[Environment]]&amp;"-http-listener")</f>
        <v/>
      </c>
      <c r="I92" s="65" t="str">
        <f>IF(Table36813[[#This Row],[Product]]="","",IF(Table36813[[#This Row],[Component]]="","",Table36813[[#This Row],[Component]]&amp;"-")&amp;Table36813[[#This Row],[Product]]&amp;"-"&amp;Table36813[[#This Row],[Customer]]&amp;"-"&amp;Table36813[[#This Row],[Environment]]&amp;"-https-listener")</f>
        <v/>
      </c>
    </row>
    <row r="93" spans="1:10" x14ac:dyDescent="0.25">
      <c r="A93" s="70">
        <f t="shared" si="10"/>
        <v>6</v>
      </c>
      <c r="B93" s="69" t="str">
        <f t="shared" si="9"/>
        <v/>
      </c>
      <c r="C93" s="62" t="str">
        <f t="shared" si="9"/>
        <v/>
      </c>
      <c r="D93" s="62" t="str">
        <f t="shared" si="9"/>
        <v/>
      </c>
      <c r="E93" s="62" t="str">
        <f t="shared" si="9"/>
        <v/>
      </c>
      <c r="F93" s="68" t="str">
        <f>IF(Table36813[[#This Row],[Product]]="","",IF(Table36813[[#This Row],[Component]]="","",Table36813[[#This Row],[Component]]&amp;"-")&amp;Table36813[[#This Row],[Product]]&amp;"-"&amp;Table36813[[#This Row],[Customer]]&amp;"-"&amp;Table36813[[#This Row],[Environment]]&amp;"-redirect-routing-rule")</f>
        <v/>
      </c>
      <c r="G93" s="67"/>
      <c r="H93" s="66" t="str">
        <f>IF(Table36813[[#This Row],[Product]]="","",IF(Table36813[[#This Row],[Component]]="","",Table36813[[#This Row],[Component]]&amp;"-")&amp;Table36813[[#This Row],[Product]]&amp;"-"&amp;Table36813[[#This Row],[Customer]]&amp;"-"&amp;Table36813[[#This Row],[Environment]]&amp;"-http-listener")</f>
        <v/>
      </c>
      <c r="I93" s="65" t="str">
        <f>IF(Table36813[[#This Row],[Product]]="","",IF(Table36813[[#This Row],[Component]]="","",Table36813[[#This Row],[Component]]&amp;"-")&amp;Table36813[[#This Row],[Product]]&amp;"-"&amp;Table36813[[#This Row],[Customer]]&amp;"-"&amp;Table36813[[#This Row],[Environment]]&amp;"-https-listener")</f>
        <v/>
      </c>
    </row>
    <row r="94" spans="1:10" x14ac:dyDescent="0.25">
      <c r="A94" s="70">
        <f t="shared" si="10"/>
        <v>7</v>
      </c>
      <c r="B94" s="69" t="str">
        <f t="shared" si="9"/>
        <v/>
      </c>
      <c r="C94" s="62" t="str">
        <f t="shared" si="9"/>
        <v/>
      </c>
      <c r="D94" s="62" t="str">
        <f t="shared" si="9"/>
        <v/>
      </c>
      <c r="E94" s="62" t="str">
        <f t="shared" si="9"/>
        <v/>
      </c>
      <c r="F94" s="68" t="str">
        <f>IF(Table36813[[#This Row],[Product]]="","",IF(Table36813[[#This Row],[Component]]="","",Table36813[[#This Row],[Component]]&amp;"-")&amp;Table36813[[#This Row],[Product]]&amp;"-"&amp;Table36813[[#This Row],[Customer]]&amp;"-"&amp;Table36813[[#This Row],[Environment]]&amp;"-redirect-routing-rule")</f>
        <v/>
      </c>
      <c r="G94" s="67"/>
      <c r="H94" s="66" t="str">
        <f>IF(Table36813[[#This Row],[Product]]="","",IF(Table36813[[#This Row],[Component]]="","",Table36813[[#This Row],[Component]]&amp;"-")&amp;Table36813[[#This Row],[Product]]&amp;"-"&amp;Table36813[[#This Row],[Customer]]&amp;"-"&amp;Table36813[[#This Row],[Environment]]&amp;"-http-listener")</f>
        <v/>
      </c>
      <c r="I94" s="65" t="str">
        <f>IF(Table36813[[#This Row],[Product]]="","",IF(Table36813[[#This Row],[Component]]="","",Table36813[[#This Row],[Component]]&amp;"-")&amp;Table36813[[#This Row],[Product]]&amp;"-"&amp;Table36813[[#This Row],[Customer]]&amp;"-"&amp;Table36813[[#This Row],[Environment]]&amp;"-https-listener")</f>
        <v/>
      </c>
    </row>
    <row r="95" spans="1:10" x14ac:dyDescent="0.25">
      <c r="A95" s="70">
        <f t="shared" si="10"/>
        <v>8</v>
      </c>
      <c r="B95" s="69" t="str">
        <f t="shared" si="9"/>
        <v/>
      </c>
      <c r="C95" s="62" t="str">
        <f t="shared" si="9"/>
        <v/>
      </c>
      <c r="D95" s="62" t="str">
        <f t="shared" si="9"/>
        <v/>
      </c>
      <c r="E95" s="62" t="str">
        <f t="shared" si="9"/>
        <v/>
      </c>
      <c r="F95" s="68" t="str">
        <f>IF(Table36813[[#This Row],[Product]]="","",IF(Table36813[[#This Row],[Component]]="","",Table36813[[#This Row],[Component]]&amp;"-")&amp;Table36813[[#This Row],[Product]]&amp;"-"&amp;Table36813[[#This Row],[Customer]]&amp;"-"&amp;Table36813[[#This Row],[Environment]]&amp;"-redirect-routing-rule")</f>
        <v/>
      </c>
      <c r="G95" s="67"/>
      <c r="H95" s="66" t="str">
        <f>IF(Table36813[[#This Row],[Product]]="","",IF(Table36813[[#This Row],[Component]]="","",Table36813[[#This Row],[Component]]&amp;"-")&amp;Table36813[[#This Row],[Product]]&amp;"-"&amp;Table36813[[#This Row],[Customer]]&amp;"-"&amp;Table36813[[#This Row],[Environment]]&amp;"-http-listener")</f>
        <v/>
      </c>
      <c r="I95" s="65" t="str">
        <f>IF(Table36813[[#This Row],[Product]]="","",IF(Table36813[[#This Row],[Component]]="","",Table36813[[#This Row],[Component]]&amp;"-")&amp;Table36813[[#This Row],[Product]]&amp;"-"&amp;Table36813[[#This Row],[Customer]]&amp;"-"&amp;Table36813[[#This Row],[Environment]]&amp;"-https-listener")</f>
        <v/>
      </c>
    </row>
    <row r="96" spans="1:10" x14ac:dyDescent="0.25">
      <c r="A96" s="70">
        <f t="shared" si="10"/>
        <v>9</v>
      </c>
      <c r="B96" s="69" t="str">
        <f t="shared" si="9"/>
        <v/>
      </c>
      <c r="C96" s="62" t="str">
        <f t="shared" si="9"/>
        <v/>
      </c>
      <c r="D96" s="62" t="str">
        <f t="shared" si="9"/>
        <v/>
      </c>
      <c r="E96" s="62" t="str">
        <f t="shared" si="9"/>
        <v/>
      </c>
      <c r="F96" s="68" t="str">
        <f>IF(Table36813[[#This Row],[Product]]="","",IF(Table36813[[#This Row],[Component]]="","",Table36813[[#This Row],[Component]]&amp;"-")&amp;Table36813[[#This Row],[Product]]&amp;"-"&amp;Table36813[[#This Row],[Customer]]&amp;"-"&amp;Table36813[[#This Row],[Environment]]&amp;"-redirect-routing-rule")</f>
        <v/>
      </c>
      <c r="G96" s="67"/>
      <c r="H96" s="66" t="str">
        <f>IF(Table36813[[#This Row],[Product]]="","",IF(Table36813[[#This Row],[Component]]="","",Table36813[[#This Row],[Component]]&amp;"-")&amp;Table36813[[#This Row],[Product]]&amp;"-"&amp;Table36813[[#This Row],[Customer]]&amp;"-"&amp;Table36813[[#This Row],[Environment]]&amp;"-http-listener")</f>
        <v/>
      </c>
      <c r="I96" s="65" t="str">
        <f>IF(Table36813[[#This Row],[Product]]="","",IF(Table36813[[#This Row],[Component]]="","",Table36813[[#This Row],[Component]]&amp;"-")&amp;Table36813[[#This Row],[Product]]&amp;"-"&amp;Table36813[[#This Row],[Customer]]&amp;"-"&amp;Table36813[[#This Row],[Environment]]&amp;"-https-listener")</f>
        <v/>
      </c>
    </row>
    <row r="97" spans="1:9" x14ac:dyDescent="0.25">
      <c r="A97" s="70">
        <f t="shared" si="10"/>
        <v>10</v>
      </c>
      <c r="B97" s="69" t="str">
        <f t="shared" si="9"/>
        <v/>
      </c>
      <c r="C97" s="62" t="str">
        <f t="shared" si="9"/>
        <v/>
      </c>
      <c r="D97" s="62" t="str">
        <f t="shared" si="9"/>
        <v/>
      </c>
      <c r="E97" s="62" t="str">
        <f t="shared" si="9"/>
        <v/>
      </c>
      <c r="F97" s="68" t="str">
        <f>IF(Table36813[[#This Row],[Product]]="","",IF(Table36813[[#This Row],[Component]]="","",Table36813[[#This Row],[Component]]&amp;"-")&amp;Table36813[[#This Row],[Product]]&amp;"-"&amp;Table36813[[#This Row],[Customer]]&amp;"-"&amp;Table36813[[#This Row],[Environment]]&amp;"-redirect-routing-rule")</f>
        <v/>
      </c>
      <c r="G97" s="67"/>
      <c r="H97" s="66" t="str">
        <f>IF(Table36813[[#This Row],[Product]]="","",IF(Table36813[[#This Row],[Component]]="","",Table36813[[#This Row],[Component]]&amp;"-")&amp;Table36813[[#This Row],[Product]]&amp;"-"&amp;Table36813[[#This Row],[Customer]]&amp;"-"&amp;Table36813[[#This Row],[Environment]]&amp;"-http-listener")</f>
        <v/>
      </c>
      <c r="I97" s="65" t="str">
        <f>IF(Table36813[[#This Row],[Product]]="","",IF(Table36813[[#This Row],[Component]]="","",Table36813[[#This Row],[Component]]&amp;"-")&amp;Table36813[[#This Row],[Product]]&amp;"-"&amp;Table36813[[#This Row],[Customer]]&amp;"-"&amp;Table36813[[#This Row],[Environment]]&amp;"-https-listener")</f>
        <v/>
      </c>
    </row>
    <row r="98" spans="1:9" x14ac:dyDescent="0.25">
      <c r="A98" s="70">
        <f t="shared" si="10"/>
        <v>11</v>
      </c>
      <c r="B98" s="69" t="str">
        <f t="shared" si="9"/>
        <v/>
      </c>
      <c r="C98" s="62" t="str">
        <f t="shared" si="9"/>
        <v/>
      </c>
      <c r="D98" s="62" t="str">
        <f t="shared" si="9"/>
        <v/>
      </c>
      <c r="E98" s="62" t="str">
        <f t="shared" si="9"/>
        <v/>
      </c>
      <c r="F98" s="68" t="str">
        <f>IF(Table36813[[#This Row],[Product]]="","",IF(Table36813[[#This Row],[Component]]="","",Table36813[[#This Row],[Component]]&amp;"-")&amp;Table36813[[#This Row],[Product]]&amp;"-"&amp;Table36813[[#This Row],[Customer]]&amp;"-"&amp;Table36813[[#This Row],[Environment]]&amp;"-redirect-routing-rule")</f>
        <v/>
      </c>
      <c r="G98" s="67"/>
      <c r="H98" s="66" t="str">
        <f>IF(Table36813[[#This Row],[Product]]="","",IF(Table36813[[#This Row],[Component]]="","",Table36813[[#This Row],[Component]]&amp;"-")&amp;Table36813[[#This Row],[Product]]&amp;"-"&amp;Table36813[[#This Row],[Customer]]&amp;"-"&amp;Table36813[[#This Row],[Environment]]&amp;"-http-listener")</f>
        <v/>
      </c>
      <c r="I98" s="65" t="str">
        <f>IF(Table36813[[#This Row],[Product]]="","",IF(Table36813[[#This Row],[Component]]="","",Table36813[[#This Row],[Component]]&amp;"-")&amp;Table36813[[#This Row],[Product]]&amp;"-"&amp;Table36813[[#This Row],[Customer]]&amp;"-"&amp;Table36813[[#This Row],[Environment]]&amp;"-https-listener")</f>
        <v/>
      </c>
    </row>
    <row r="99" spans="1:9" x14ac:dyDescent="0.25">
      <c r="A99" s="70">
        <f t="shared" si="10"/>
        <v>12</v>
      </c>
      <c r="B99" s="69" t="str">
        <f t="shared" si="9"/>
        <v/>
      </c>
      <c r="C99" s="62" t="str">
        <f t="shared" si="9"/>
        <v/>
      </c>
      <c r="D99" s="62" t="str">
        <f t="shared" si="9"/>
        <v/>
      </c>
      <c r="E99" s="62" t="str">
        <f t="shared" si="9"/>
        <v/>
      </c>
      <c r="F99" s="68" t="str">
        <f>IF(Table36813[[#This Row],[Product]]="","",IF(Table36813[[#This Row],[Component]]="","",Table36813[[#This Row],[Component]]&amp;"-")&amp;Table36813[[#This Row],[Product]]&amp;"-"&amp;Table36813[[#This Row],[Customer]]&amp;"-"&amp;Table36813[[#This Row],[Environment]]&amp;"-redirect-routing-rule")</f>
        <v/>
      </c>
      <c r="G99" s="67"/>
      <c r="H99" s="66" t="str">
        <f>IF(Table36813[[#This Row],[Product]]="","",IF(Table36813[[#This Row],[Component]]="","",Table36813[[#This Row],[Component]]&amp;"-")&amp;Table36813[[#This Row],[Product]]&amp;"-"&amp;Table36813[[#This Row],[Customer]]&amp;"-"&amp;Table36813[[#This Row],[Environment]]&amp;"-http-listener")</f>
        <v/>
      </c>
      <c r="I99" s="65" t="str">
        <f>IF(Table36813[[#This Row],[Product]]="","",IF(Table36813[[#This Row],[Component]]="","",Table36813[[#This Row],[Component]]&amp;"-")&amp;Table36813[[#This Row],[Product]]&amp;"-"&amp;Table36813[[#This Row],[Customer]]&amp;"-"&amp;Table36813[[#This Row],[Environment]]&amp;"-https-listener")</f>
        <v/>
      </c>
    </row>
  </sheetData>
  <mergeCells count="1">
    <mergeCell ref="A13:B13"/>
  </mergeCells>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F15"/>
  <sheetViews>
    <sheetView showGridLines="0" workbookViewId="0">
      <selection activeCell="C30" sqref="C30"/>
    </sheetView>
  </sheetViews>
  <sheetFormatPr defaultColWidth="9.109375" defaultRowHeight="12" x14ac:dyDescent="0.25"/>
  <cols>
    <col min="1" max="1" width="17.109375" style="1" bestFit="1" customWidth="1"/>
    <col min="2" max="2" width="25" style="1" bestFit="1" customWidth="1"/>
    <col min="3" max="3" width="31.6640625" style="1" bestFit="1" customWidth="1"/>
    <col min="4" max="4" width="6.33203125" style="1" bestFit="1" customWidth="1"/>
    <col min="5" max="5" width="10.109375" style="1" bestFit="1" customWidth="1"/>
    <col min="6" max="6" width="35.44140625" style="1" bestFit="1" customWidth="1"/>
    <col min="7" max="16384" width="9.109375" style="1"/>
  </cols>
  <sheetData>
    <row r="1" spans="1:6" x14ac:dyDescent="0.25">
      <c r="A1" s="1" t="s">
        <v>0</v>
      </c>
      <c r="B1" s="1" t="s">
        <v>3</v>
      </c>
      <c r="C1" s="1" t="s">
        <v>4</v>
      </c>
      <c r="D1" s="1" t="s">
        <v>5</v>
      </c>
      <c r="E1" s="1" t="s">
        <v>2</v>
      </c>
      <c r="F1" s="1" t="s">
        <v>1</v>
      </c>
    </row>
    <row r="2" spans="1:6" x14ac:dyDescent="0.25">
      <c r="A2" s="2" t="s">
        <v>179</v>
      </c>
      <c r="B2" s="2" t="s">
        <v>8</v>
      </c>
      <c r="C2" s="2" t="s">
        <v>9</v>
      </c>
      <c r="D2" s="3">
        <v>0.11799999999999999</v>
      </c>
      <c r="E2" s="2" t="s">
        <v>7</v>
      </c>
      <c r="F2" s="2" t="s">
        <v>6</v>
      </c>
    </row>
    <row r="3" spans="1:6" x14ac:dyDescent="0.25">
      <c r="A3" s="2" t="s">
        <v>10</v>
      </c>
      <c r="B3" s="2" t="s">
        <v>10</v>
      </c>
      <c r="C3" s="2" t="s">
        <v>11</v>
      </c>
      <c r="D3" s="3">
        <v>0.11799999999999999</v>
      </c>
      <c r="E3" s="2" t="s">
        <v>7</v>
      </c>
      <c r="F3" s="2" t="s">
        <v>6</v>
      </c>
    </row>
    <row r="4" spans="1:6" x14ac:dyDescent="0.25">
      <c r="A4" s="2" t="s">
        <v>12</v>
      </c>
      <c r="B4" s="2" t="s">
        <v>13</v>
      </c>
      <c r="C4" s="2" t="s">
        <v>14</v>
      </c>
      <c r="D4" s="3">
        <v>0.25600000000000001</v>
      </c>
      <c r="E4" s="2" t="s">
        <v>7</v>
      </c>
      <c r="F4" s="2" t="s">
        <v>6</v>
      </c>
    </row>
    <row r="5" spans="1:6" x14ac:dyDescent="0.25">
      <c r="A5" s="2" t="s">
        <v>180</v>
      </c>
      <c r="B5" s="2" t="s">
        <v>15</v>
      </c>
      <c r="C5" s="2" t="s">
        <v>16</v>
      </c>
      <c r="D5" s="3">
        <v>0.11799999999999999</v>
      </c>
      <c r="E5" s="2" t="s">
        <v>7</v>
      </c>
      <c r="F5" s="2" t="s">
        <v>6</v>
      </c>
    </row>
    <row r="6" spans="1:6" x14ac:dyDescent="0.25">
      <c r="A6" s="2" t="s">
        <v>181</v>
      </c>
      <c r="B6" s="2" t="s">
        <v>17</v>
      </c>
      <c r="C6" s="2" t="s">
        <v>18</v>
      </c>
      <c r="D6" s="3">
        <v>0.11799999999999999</v>
      </c>
      <c r="E6" s="2" t="s">
        <v>7</v>
      </c>
      <c r="F6" s="2" t="s">
        <v>6</v>
      </c>
    </row>
    <row r="7" spans="1:6" x14ac:dyDescent="0.25">
      <c r="A7" s="2" t="s">
        <v>182</v>
      </c>
      <c r="B7" s="2" t="s">
        <v>19</v>
      </c>
      <c r="C7" s="2" t="s">
        <v>20</v>
      </c>
      <c r="D7" s="3">
        <v>0.11799999999999999</v>
      </c>
      <c r="E7" s="2" t="s">
        <v>7</v>
      </c>
      <c r="F7" s="2" t="s">
        <v>6</v>
      </c>
    </row>
    <row r="8" spans="1:6" x14ac:dyDescent="0.25">
      <c r="A8" s="2" t="s">
        <v>21</v>
      </c>
      <c r="B8" s="2" t="s">
        <v>21</v>
      </c>
      <c r="C8" s="2" t="s">
        <v>22</v>
      </c>
      <c r="D8" s="3">
        <v>0</v>
      </c>
      <c r="E8" s="2" t="s">
        <v>7</v>
      </c>
      <c r="F8" s="2" t="s">
        <v>6</v>
      </c>
    </row>
    <row r="9" spans="1:6" x14ac:dyDescent="0.25">
      <c r="A9" s="2" t="s">
        <v>23</v>
      </c>
      <c r="B9" s="2" t="s">
        <v>23</v>
      </c>
      <c r="C9" s="2" t="s">
        <v>24</v>
      </c>
      <c r="D9" s="3">
        <v>0</v>
      </c>
      <c r="E9" s="2" t="s">
        <v>7</v>
      </c>
      <c r="F9" s="2" t="s">
        <v>6</v>
      </c>
    </row>
    <row r="10" spans="1:6" x14ac:dyDescent="0.25">
      <c r="A10" s="2" t="s">
        <v>25</v>
      </c>
      <c r="B10" s="2" t="s">
        <v>25</v>
      </c>
      <c r="C10" s="2" t="s">
        <v>25</v>
      </c>
      <c r="D10" s="3">
        <v>0</v>
      </c>
      <c r="E10" s="2" t="s">
        <v>7</v>
      </c>
      <c r="F10" s="2" t="s">
        <v>6</v>
      </c>
    </row>
    <row r="11" spans="1:6" x14ac:dyDescent="0.25">
      <c r="A11" s="2" t="s">
        <v>26</v>
      </c>
      <c r="B11" s="2" t="s">
        <v>26</v>
      </c>
      <c r="C11" s="2" t="s">
        <v>27</v>
      </c>
      <c r="D11" s="3">
        <v>0.44157000000000002</v>
      </c>
      <c r="E11" s="2" t="s">
        <v>7</v>
      </c>
      <c r="F11" s="2" t="s">
        <v>6</v>
      </c>
    </row>
    <row r="12" spans="1:6" x14ac:dyDescent="0.25">
      <c r="A12" s="2" t="s">
        <v>28</v>
      </c>
      <c r="B12" s="2" t="s">
        <v>28</v>
      </c>
      <c r="C12" s="2" t="s">
        <v>29</v>
      </c>
      <c r="D12" s="3">
        <v>0</v>
      </c>
      <c r="E12" s="2" t="s">
        <v>7</v>
      </c>
      <c r="F12" s="2" t="s">
        <v>6</v>
      </c>
    </row>
    <row r="13" spans="1:6" x14ac:dyDescent="0.25">
      <c r="A13" s="2" t="s">
        <v>30</v>
      </c>
      <c r="B13" s="2" t="s">
        <v>30</v>
      </c>
      <c r="C13" s="2" t="s">
        <v>31</v>
      </c>
      <c r="D13" s="3">
        <v>0</v>
      </c>
      <c r="E13" s="2" t="s">
        <v>7</v>
      </c>
      <c r="F13" s="2" t="s">
        <v>6</v>
      </c>
    </row>
    <row r="14" spans="1:6" x14ac:dyDescent="0.25">
      <c r="A14" s="2" t="s">
        <v>183</v>
      </c>
      <c r="B14" s="2" t="s">
        <v>32</v>
      </c>
      <c r="C14" s="2" t="s">
        <v>33</v>
      </c>
      <c r="D14" s="3">
        <v>0.11799999999999999</v>
      </c>
      <c r="E14" s="2" t="s">
        <v>7</v>
      </c>
      <c r="F14" s="2" t="s">
        <v>6</v>
      </c>
    </row>
    <row r="15" spans="1:6" x14ac:dyDescent="0.25">
      <c r="A15" s="2" t="s">
        <v>184</v>
      </c>
      <c r="B15" s="2" t="s">
        <v>34</v>
      </c>
      <c r="C15" s="2" t="s">
        <v>35</v>
      </c>
      <c r="D15" s="3">
        <v>0.11799999999999999</v>
      </c>
      <c r="E15" s="2" t="s">
        <v>7</v>
      </c>
      <c r="F15" s="2" t="s">
        <v>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K9"/>
  <sheetViews>
    <sheetView showGridLines="0" workbookViewId="0">
      <selection activeCell="I6" sqref="I6"/>
    </sheetView>
  </sheetViews>
  <sheetFormatPr defaultColWidth="9.109375" defaultRowHeight="12" x14ac:dyDescent="0.25"/>
  <cols>
    <col min="1" max="1" width="9.6640625" style="1" bestFit="1" customWidth="1"/>
    <col min="2" max="2" width="10.6640625" style="1" bestFit="1" customWidth="1"/>
    <col min="3" max="3" width="1.5546875" style="23" customWidth="1"/>
    <col min="4" max="4" width="10" style="1" bestFit="1" customWidth="1"/>
    <col min="5" max="5" width="10.6640625" style="1" bestFit="1" customWidth="1"/>
    <col min="6" max="6" width="1.5546875" style="23" customWidth="1"/>
    <col min="7" max="7" width="17.109375" style="1" bestFit="1" customWidth="1"/>
    <col min="8" max="8" width="1.5546875" style="23" customWidth="1"/>
    <col min="9" max="9" width="17.6640625" style="1" bestFit="1" customWidth="1"/>
    <col min="10" max="10" width="30" style="1" bestFit="1" customWidth="1"/>
    <col min="11" max="11" width="1.5546875" style="23" customWidth="1"/>
    <col min="12" max="16384" width="9.109375" style="1"/>
  </cols>
  <sheetData>
    <row r="1" spans="1:10" x14ac:dyDescent="0.25">
      <c r="A1" s="4" t="s">
        <v>73</v>
      </c>
      <c r="B1" s="4" t="s">
        <v>59</v>
      </c>
      <c r="D1" s="4" t="s">
        <v>50</v>
      </c>
      <c r="E1" s="4" t="s">
        <v>74</v>
      </c>
      <c r="G1" s="4" t="s">
        <v>55</v>
      </c>
      <c r="I1" s="4" t="s">
        <v>279</v>
      </c>
      <c r="J1" s="4" t="s">
        <v>278</v>
      </c>
    </row>
    <row r="2" spans="1:10" x14ac:dyDescent="0.25">
      <c r="A2" s="5" t="s">
        <v>40</v>
      </c>
      <c r="B2" s="5" t="s">
        <v>54</v>
      </c>
      <c r="D2" s="5" t="s">
        <v>41</v>
      </c>
      <c r="E2" s="5" t="s">
        <v>38</v>
      </c>
      <c r="G2" s="5" t="s">
        <v>180</v>
      </c>
      <c r="I2" s="5" t="s">
        <v>226</v>
      </c>
      <c r="J2" s="5" t="s">
        <v>286</v>
      </c>
    </row>
    <row r="3" spans="1:10" x14ac:dyDescent="0.25">
      <c r="A3" s="5" t="s">
        <v>72</v>
      </c>
      <c r="B3" s="5" t="s">
        <v>71</v>
      </c>
      <c r="D3" s="5" t="s">
        <v>75</v>
      </c>
      <c r="E3" s="5" t="s">
        <v>38</v>
      </c>
      <c r="G3" s="5" t="s">
        <v>181</v>
      </c>
      <c r="I3" s="5"/>
      <c r="J3" s="5"/>
    </row>
    <row r="4" spans="1:10" x14ac:dyDescent="0.25">
      <c r="A4" s="5"/>
      <c r="B4" s="5"/>
      <c r="D4" s="5" t="s">
        <v>76</v>
      </c>
      <c r="E4" s="5" t="s">
        <v>38</v>
      </c>
      <c r="G4" s="5" t="s">
        <v>182</v>
      </c>
      <c r="I4" s="5"/>
      <c r="J4" s="5"/>
    </row>
    <row r="5" spans="1:10" x14ac:dyDescent="0.25">
      <c r="A5" s="5"/>
      <c r="B5" s="5"/>
      <c r="D5" s="5" t="s">
        <v>77</v>
      </c>
      <c r="E5" s="5" t="s">
        <v>38</v>
      </c>
      <c r="G5" s="5" t="s">
        <v>179</v>
      </c>
      <c r="I5" s="5"/>
      <c r="J5" s="5"/>
    </row>
    <row r="6" spans="1:10" x14ac:dyDescent="0.25">
      <c r="A6" s="5"/>
      <c r="B6" s="5"/>
      <c r="D6" s="5" t="s">
        <v>78</v>
      </c>
      <c r="E6" s="5" t="s">
        <v>38</v>
      </c>
      <c r="G6" s="5" t="s">
        <v>184</v>
      </c>
      <c r="I6" s="5"/>
      <c r="J6" s="5"/>
    </row>
    <row r="7" spans="1:10" x14ac:dyDescent="0.25">
      <c r="A7" s="5"/>
      <c r="B7" s="5"/>
      <c r="D7" s="5" t="s">
        <v>79</v>
      </c>
      <c r="E7" s="5" t="s">
        <v>81</v>
      </c>
      <c r="G7" s="5" t="s">
        <v>183</v>
      </c>
      <c r="I7" s="5"/>
      <c r="J7" s="5"/>
    </row>
    <row r="8" spans="1:10" x14ac:dyDescent="0.25">
      <c r="A8" s="5"/>
      <c r="B8" s="5"/>
      <c r="D8" s="5" t="s">
        <v>80</v>
      </c>
      <c r="E8" s="5" t="s">
        <v>42</v>
      </c>
      <c r="G8" s="5"/>
      <c r="I8" s="5"/>
      <c r="J8" s="5"/>
    </row>
    <row r="9" spans="1:10" x14ac:dyDescent="0.25">
      <c r="A9" s="5"/>
      <c r="B9" s="5"/>
      <c r="D9" s="5"/>
      <c r="E9" s="5"/>
      <c r="G9" s="5"/>
      <c r="I9" s="5"/>
      <c r="J9" s="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5D4D3D4859783E409E017CF504501C7B" ma:contentTypeVersion="6" ma:contentTypeDescription="Create a new document." ma:contentTypeScope="" ma:versionID="d270039d250e9cf62321efeed9232eb9">
  <xsd:schema xmlns:xsd="http://www.w3.org/2001/XMLSchema" xmlns:xs="http://www.w3.org/2001/XMLSchema" xmlns:p="http://schemas.microsoft.com/office/2006/metadata/properties" xmlns:ns1="http://schemas.microsoft.com/sharepoint/v3" xmlns:ns2="8fd4f31f-c31a-41b9-9812-ff47714bfeb5" xmlns:ns3="2f430839-4408-4bdd-bd9d-129fa0f0d27c" targetNamespace="http://schemas.microsoft.com/office/2006/metadata/properties" ma:root="true" ma:fieldsID="5abae46efc8329e1b01bcf049ac6267e" ns1:_="" ns2:_="" ns3:_="">
    <xsd:import namespace="http://schemas.microsoft.com/sharepoint/v3"/>
    <xsd:import namespace="8fd4f31f-c31a-41b9-9812-ff47714bfeb5"/>
    <xsd:import namespace="2f430839-4408-4bdd-bd9d-129fa0f0d27c"/>
    <xsd:element name="properties">
      <xsd:complexType>
        <xsd:sequence>
          <xsd:element name="documentManagement">
            <xsd:complexType>
              <xsd:all>
                <xsd:element ref="ns2:MediaServiceMetadata" minOccurs="0"/>
                <xsd:element ref="ns2:MediaServiceFastMetadata"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0" nillable="true" ma:displayName="Unified Compliance Policy Properties" ma:hidden="true" ma:internalName="_ip_UnifiedCompliancePolicyProperties">
      <xsd:simpleType>
        <xsd:restriction base="dms:Note"/>
      </xsd:simpleType>
    </xsd:element>
    <xsd:element name="_ip_UnifiedCompliancePolicyUIAction" ma:index="1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fd4f31f-c31a-41b9-9812-ff47714bfe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f430839-4408-4bdd-bd9d-129fa0f0d27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xml version="1.0" encoding="utf-8"?>
<?mso-contentType ?>
<SharedContentType xmlns="Microsoft.SharePoint.Taxonomy.ContentTypeSync" SourceId="0ace10e6-8c8a-46b5-9435-807f619c65c5" ContentTypeId="0x0101" PreviousValue="false" LastSyncTimeStamp="2019-01-29T16:52:55.483Z"/>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19.xml>�� 
</file>

<file path=customXml/item20.xml>�� 
</file>

<file path=customXml/itemProps1.xml><?xml version="1.0" encoding="utf-8"?>
<ds:datastoreItem xmlns:ds="http://schemas.openxmlformats.org/officeDocument/2006/customXml" ds:itemID="{25AA2CC9-C2E5-40F6-A503-BFF860AED14B}">
  <ds:schemaRefs/>
</ds:datastoreItem>
</file>

<file path=customXml/itemProps2.xml><?xml version="1.0" encoding="utf-8"?>
<ds:datastoreItem xmlns:ds="http://schemas.openxmlformats.org/officeDocument/2006/customXml" ds:itemID="{F7B68B66-4F14-4CC3-AA36-CA59309C90B8}">
  <ds:schemaRefs/>
</ds:datastoreItem>
</file>

<file path=customXml/itemProps3.xml><?xml version="1.0" encoding="utf-8"?>
<ds:datastoreItem xmlns:ds="http://schemas.openxmlformats.org/officeDocument/2006/customXml" ds:itemID="{48D3EEE6-ADB2-4774-B877-E1848E11F6EA}">
  <ds:schemaRefs/>
</ds:datastoreItem>
</file>

<file path=customXml/itemProps4.xml><?xml version="1.0" encoding="utf-8"?>
<ds:datastoreItem xmlns:ds="http://schemas.openxmlformats.org/officeDocument/2006/customXml" ds:itemID="{249555AC-BBDE-48C8-A631-DB39B697C618}">
  <ds:schemaRefs/>
</ds:datastoreItem>
</file>

<file path=customXml/itemProps5.xml><?xml version="1.0" encoding="utf-8"?>
<ds:datastoreItem xmlns:ds="http://schemas.openxmlformats.org/officeDocument/2006/customXml" ds:itemID="{23A6A77D-A8D7-4EBF-B276-DA45FE0B8E28}">
  <ds:schemaRefs/>
</ds:datastoreItem>
</file>

<file path=customXml/itemProps6.xml><?xml version="1.0" encoding="utf-8"?>
<ds:datastoreItem xmlns:ds="http://schemas.openxmlformats.org/officeDocument/2006/customXml" ds:itemID="{539573A1-E02D-4546-A3E3-EF693A9054A4}">
  <ds:schemaRefs/>
</ds:datastoreItem>
</file>

<file path=customXml/itemProps7.xml><?xml version="1.0" encoding="utf-8"?>
<ds:datastoreItem xmlns:ds="http://schemas.openxmlformats.org/officeDocument/2006/customXml" ds:itemID="{522F2262-E5B3-4C93-B2AB-51D7E2579ADE}">
  <ds:schemaRefs>
    <ds:schemaRef ds:uri="http://schemas.microsoft.com/sharepoint/v3/contenttype/forms"/>
  </ds:schemaRefs>
</ds:datastoreItem>
</file>

<file path=customXml/itemProps8.xml><?xml version="1.0" encoding="utf-8"?>
<ds:datastoreItem xmlns:ds="http://schemas.openxmlformats.org/officeDocument/2006/customXml" ds:itemID="{E301ED45-FA1B-413B-8A3C-B36759D24D2C}">
  <ds:schemaRefs/>
</ds:datastoreItem>
</file>

<file path=customXml/itemProps9.xml><?xml version="1.0" encoding="utf-8"?>
<ds:datastoreItem xmlns:ds="http://schemas.openxmlformats.org/officeDocument/2006/customXml" ds:itemID="{165717A9-57A8-4296-88C6-24B5B0DBA2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fd4f31f-c31a-41b9-9812-ff47714bfeb5"/>
    <ds:schemaRef ds:uri="2f430839-4408-4bdd-bd9d-129fa0f0d2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B21DAC66-AC3C-4D0A-8674-A39421F4D2DB}">
  <ds:schemaRefs>
    <ds:schemaRef ds:uri="Microsoft.SharePoint.Taxonomy.ContentTypeSync"/>
  </ds:schemaRefs>
</ds:datastoreItem>
</file>

<file path=customXml/itemProps11.xml><?xml version="1.0" encoding="utf-8"?>
<ds:datastoreItem xmlns:ds="http://schemas.openxmlformats.org/officeDocument/2006/customXml" ds:itemID="{CC7B3C90-E0CC-47AA-96DB-F4969C7C700A}">
  <ds:schemaRefs/>
</ds:datastoreItem>
</file>

<file path=customXml/itemProps12.xml><?xml version="1.0" encoding="utf-8"?>
<ds:datastoreItem xmlns:ds="http://schemas.openxmlformats.org/officeDocument/2006/customXml" ds:itemID="{8FE70F4C-AB73-427C-980E-03EE57DDF8F9}">
  <ds:schemaRefs/>
</ds:datastoreItem>
</file>

<file path=customXml/itemProps13.xml><?xml version="1.0" encoding="utf-8"?>
<ds:datastoreItem xmlns:ds="http://schemas.openxmlformats.org/officeDocument/2006/customXml" ds:itemID="{6EBE4EA5-03BE-47E5-99E3-6AAE8CF40BB0}">
  <ds:schemaRefs/>
</ds:datastoreItem>
</file>

<file path=customXml/itemProps14.xml><?xml version="1.0" encoding="utf-8"?>
<ds:datastoreItem xmlns:ds="http://schemas.openxmlformats.org/officeDocument/2006/customXml" ds:itemID="{02A41F65-B516-4B9A-9390-511E4B136027}">
  <ds:schemaRefs/>
</ds:datastoreItem>
</file>

<file path=customXml/itemProps15.xml><?xml version="1.0" encoding="utf-8"?>
<ds:datastoreItem xmlns:ds="http://schemas.openxmlformats.org/officeDocument/2006/customXml" ds:itemID="{837A414F-8EC1-4159-9731-9C2C62571B13}">
  <ds:schemaRefs/>
</ds:datastoreItem>
</file>

<file path=customXml/itemProps16.xml><?xml version="1.0" encoding="utf-8"?>
<ds:datastoreItem xmlns:ds="http://schemas.openxmlformats.org/officeDocument/2006/customXml" ds:itemID="{A8AA1BFD-7F91-4DDD-A107-263663DDE58D}">
  <ds:schemaRefs/>
</ds:datastoreItem>
</file>

<file path=customXml/itemProps17.xml><?xml version="1.0" encoding="utf-8"?>
<ds:datastoreItem xmlns:ds="http://schemas.openxmlformats.org/officeDocument/2006/customXml" ds:itemID="{2F02722C-79B0-4AD5-A8DC-48B2ABFAC7C6}">
  <ds:schemaRefs/>
</ds:datastoreItem>
</file>

<file path=customXml/itemProps18.xml><?xml version="1.0" encoding="utf-8"?>
<ds:datastoreItem xmlns:ds="http://schemas.openxmlformats.org/officeDocument/2006/customXml" ds:itemID="{A7CC60A6-FB9D-42E4-9751-9822FDF7A1C7}">
  <ds:schemaRefs>
    <ds:schemaRef ds:uri="http://schemas.microsoft.com/office/2006/metadata/properties"/>
    <ds:schemaRef ds:uri="http://purl.org/dc/terms/"/>
    <ds:schemaRef ds:uri="http://purl.org/dc/elements/1.1/"/>
    <ds:schemaRef ds:uri="8fd4f31f-c31a-41b9-9812-ff47714bfeb5"/>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2f430839-4408-4bdd-bd9d-129fa0f0d27c"/>
    <ds:schemaRef ds:uri="http://schemas.microsoft.com/sharepoint/v3"/>
  </ds:schemaRefs>
</ds:datastoreItem>
</file>

<file path=customXml/itemProps19.xml><?xml version="1.0" encoding="utf-8"?>
<ds:datastoreItem xmlns:ds="http://schemas.openxmlformats.org/officeDocument/2006/customXml" ds:itemID="{13F0B3CB-37E8-4FDA-A2F1-1BD9824BA175}">
  <ds:schemaRefs/>
</ds:datastoreItem>
</file>

<file path=customXml/itemProps20.xml><?xml version="1.0" encoding="utf-8"?>
<ds:datastoreItem xmlns:ds="http://schemas.openxmlformats.org/officeDocument/2006/customXml" ds:itemID="{468D0FB5-B425-4F38-819A-CEA88770B7D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Home</vt:lpstr>
      <vt:lpstr>Execute</vt:lpstr>
      <vt:lpstr>RG</vt:lpstr>
      <vt:lpstr>AgwSuez</vt:lpstr>
      <vt:lpstr>AgwIS</vt:lpstr>
      <vt:lpstr>AgwIS (2)</vt:lpstr>
      <vt:lpstr>VM</vt:lpstr>
      <vt:lpstr>Subscription</vt:lpstr>
      <vt:lpstr>vnet</vt:lpstr>
      <vt:lpstr>Drafts</vt:lpstr>
      <vt:lpstr>LB</vt:lpstr>
      <vt:lpstr>VMold</vt:lpstr>
      <vt:lpstr>VMCharacteristics</vt:lpstr>
      <vt:lpstr>App Gateway3</vt:lpstr>
      <vt:lpstr>#Subscriptions</vt:lpstr>
      <vt:lpstr>#Data</vt:lpstr>
      <vt:lpstr>LBOLD</vt:lpstr>
      <vt:lpstr>RGOLD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Roy Medden</dc:creator>
  <cp:lastModifiedBy>Moren, Eddy</cp:lastModifiedBy>
  <dcterms:created xsi:type="dcterms:W3CDTF">2023-02-11T17:47:04Z</dcterms:created>
  <dcterms:modified xsi:type="dcterms:W3CDTF">2023-05-22T15:11:19Z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0x0101005D4D3D4859783E409E017CF504501C7B</vt:lpwstr>
  </property>
</Properties>
</file>